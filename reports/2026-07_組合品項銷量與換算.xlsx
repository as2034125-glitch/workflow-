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組合品項銷量" sheetId="1" state="visible" r:id="rId3"/>
    <sheet name="換算1入與12入盒數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<sst xmlns="http://schemas.openxmlformats.org/spreadsheetml/2006/main" count="179" uniqueCount="162">
  <si>
    <r>
      <rPr>
        <b val="true"/>
        <sz val="14"/>
        <rFont val="Arial"/>
        <family val="0"/>
        <charset val="1"/>
      </rPr>
      <t xml:space="preserve">AGUGU</t>
    </r>
    <r>
      <rPr>
        <b val="true"/>
        <sz val="14"/>
        <rFont val="WenQuanYi Zen Hei"/>
        <family val="2"/>
      </rPr>
      <t xml:space="preserve">｜組合品項銷量</t>
    </r>
  </si>
  <si>
    <r>
      <rPr>
        <i val="true"/>
        <sz val="9"/>
        <color rgb="FF595959"/>
        <rFont val="WenQuanYi Zen Hei"/>
        <family val="2"/>
      </rPr>
      <t xml:space="preserve">期間：</t>
    </r>
    <r>
      <rPr>
        <i val="true"/>
        <sz val="9"/>
        <color rgb="FF595959"/>
        <rFont val="Arial"/>
        <family val="0"/>
        <charset val="1"/>
      </rPr>
      <t xml:space="preserve">2026/07/01 – 2026/07/31</t>
    </r>
    <r>
      <rPr>
        <i val="true"/>
        <sz val="9"/>
        <color rgb="FF595959"/>
        <rFont val="WenQuanYi Zen Hei"/>
        <family val="2"/>
      </rPr>
      <t xml:space="preserve">（台北時間）　｜　幣別：</t>
    </r>
    <r>
      <rPr>
        <i val="true"/>
        <sz val="9"/>
        <color rgb="FF595959"/>
        <rFont val="Arial"/>
        <family val="0"/>
        <charset val="1"/>
      </rPr>
      <t xml:space="preserve">TWD</t>
    </r>
    <r>
      <rPr>
        <i val="true"/>
        <sz val="9"/>
        <color rgb="FF595959"/>
        <rFont val="WenQuanYi Zen Hei"/>
        <family val="2"/>
      </rPr>
      <t xml:space="preserve">　｜　銷量為淨銷量（已扣除取消、退貨與退款）</t>
    </r>
  </si>
  <si>
    <r>
      <rPr>
        <b val="true"/>
        <sz val="11"/>
        <color rgb="FFFFFFFF"/>
        <rFont val="Arial"/>
        <family val="0"/>
        <charset val="1"/>
      </rPr>
      <t xml:space="preserve">A. </t>
    </r>
    <r>
      <rPr>
        <b val="true"/>
        <sz val="11"/>
        <color rgb="FFFFFFFF"/>
        <rFont val="WenQuanYi Zen Hei"/>
        <family val="2"/>
      </rPr>
      <t xml:space="preserve">商品型組合　－　以「組合商品」本身出貨計數，</t>
    </r>
    <r>
      <rPr>
        <b val="true"/>
        <sz val="11"/>
        <color rgb="FFFFFFFF"/>
        <rFont val="Arial"/>
        <family val="0"/>
        <charset val="1"/>
      </rPr>
      <t xml:space="preserve">Shopify </t>
    </r>
    <r>
      <rPr>
        <b val="true"/>
        <sz val="11"/>
        <color rgb="FFFFFFFF"/>
        <rFont val="WenQuanYi Zen Hei"/>
        <family val="2"/>
      </rPr>
      <t xml:space="preserve">商品銷售報表可直接看到</t>
    </r>
  </si>
  <si>
    <t xml:space="preserve">組合商品名稱</t>
  </si>
  <si>
    <t xml:space="preserve">SKU</t>
  </si>
  <si>
    <t xml:space="preserve">組合內容</t>
  </si>
  <si>
    <t xml:space="preserve">銷售組數</t>
  </si>
  <si>
    <t xml:space="preserve">訂單數</t>
  </si>
  <si>
    <r>
      <rPr>
        <b val="true"/>
        <sz val="10"/>
        <rFont val="WenQuanYi Zen Hei"/>
        <family val="2"/>
      </rPr>
      <t xml:space="preserve">銷售額 </t>
    </r>
    <r>
      <rPr>
        <b val="true"/>
        <sz val="10"/>
        <rFont val="Arial"/>
        <family val="0"/>
        <charset val="1"/>
      </rPr>
      <t xml:space="preserve">(Gross)</t>
    </r>
  </si>
  <si>
    <t xml:space="preserve">折扣</t>
  </si>
  <si>
    <r>
      <rPr>
        <b val="true"/>
        <sz val="10"/>
        <rFont val="WenQuanYi Zen Hei"/>
        <family val="2"/>
      </rPr>
      <t xml:space="preserve">淨銷售額 </t>
    </r>
    <r>
      <rPr>
        <b val="true"/>
        <sz val="10"/>
        <rFont val="Arial"/>
        <family val="0"/>
        <charset val="1"/>
      </rPr>
      <t xml:space="preserve">(Net)</t>
    </r>
  </si>
  <si>
    <r>
      <rPr>
        <sz val="10"/>
        <rFont val="WenQuanYi Zen Hei"/>
        <family val="2"/>
      </rPr>
      <t xml:space="preserve">晚安舒緩－開心果可可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黑芝麻牛奶風味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香蕉牛奶風味｜任選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盒</t>
    </r>
  </si>
  <si>
    <t xml:space="preserve">PBS001</t>
  </si>
  <si>
    <r>
      <rPr>
        <sz val="10"/>
        <rFont val="WenQuanYi Zen Hei"/>
        <family val="2"/>
      </rPr>
      <t xml:space="preserve">任選 </t>
    </r>
    <r>
      <rPr>
        <sz val="10"/>
        <rFont val="Arial"/>
        <family val="0"/>
        <charset val="1"/>
      </rPr>
      <t xml:space="preserve">2 </t>
    </r>
    <r>
      <rPr>
        <sz val="10"/>
        <rFont val="WenQuanYi Zen Hei"/>
        <family val="2"/>
      </rPr>
      <t xml:space="preserve">盒（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入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盒）</t>
    </r>
  </si>
  <si>
    <r>
      <rPr>
        <sz val="10"/>
        <rFont val="WenQuanYi Zen Hei"/>
        <family val="2"/>
      </rPr>
      <t xml:space="preserve">解饞不罪惡－開心果可可</t>
    </r>
    <r>
      <rPr>
        <sz val="10"/>
        <rFont val="Arial"/>
        <family val="0"/>
        <charset val="1"/>
      </rPr>
      <t xml:space="preserve">+</t>
    </r>
    <r>
      <rPr>
        <sz val="10"/>
        <rFont val="WenQuanYi Zen Hei"/>
        <family val="2"/>
      </rPr>
      <t xml:space="preserve">植感奶霧紅茶｜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盒</t>
    </r>
  </si>
  <si>
    <t xml:space="preserve">LBM005</t>
  </si>
  <si>
    <r>
      <rPr>
        <sz val="10"/>
        <rFont val="WenQuanYi Zen Hei"/>
        <family val="2"/>
      </rPr>
      <t xml:space="preserve">開心果可可 </t>
    </r>
    <r>
      <rPr>
        <sz val="10"/>
        <rFont val="Arial"/>
        <family val="0"/>
        <charset val="1"/>
      </rPr>
      <t xml:space="preserve">1 </t>
    </r>
    <r>
      <rPr>
        <sz val="10"/>
        <rFont val="WenQuanYi Zen Hei"/>
        <family val="2"/>
      </rPr>
      <t xml:space="preserve">盒 </t>
    </r>
    <r>
      <rPr>
        <sz val="10"/>
        <rFont val="Arial"/>
        <family val="0"/>
        <charset val="1"/>
      </rPr>
      <t xml:space="preserve">+ </t>
    </r>
    <r>
      <rPr>
        <sz val="10"/>
        <rFont val="WenQuanYi Zen Hei"/>
        <family val="2"/>
      </rPr>
      <t xml:space="preserve">植感奶霧紅茶 </t>
    </r>
    <r>
      <rPr>
        <sz val="10"/>
        <rFont val="Arial"/>
        <family val="0"/>
        <charset val="1"/>
      </rPr>
      <t xml:space="preserve">1 </t>
    </r>
    <r>
      <rPr>
        <sz val="10"/>
        <rFont val="WenQuanYi Zen Hei"/>
        <family val="2"/>
      </rPr>
      <t xml:space="preserve">盒</t>
    </r>
  </si>
  <si>
    <r>
      <rPr>
        <sz val="10"/>
        <rFont val="WenQuanYi Zen Hei"/>
        <family val="2"/>
      </rPr>
      <t xml:space="preserve">早晚常備組－黑芝麻牛奶風味</t>
    </r>
    <r>
      <rPr>
        <sz val="10"/>
        <rFont val="Arial"/>
        <family val="0"/>
        <charset val="1"/>
      </rPr>
      <t xml:space="preserve">+</t>
    </r>
    <r>
      <rPr>
        <sz val="10"/>
        <rFont val="WenQuanYi Zen Hei"/>
        <family val="2"/>
      </rPr>
      <t xml:space="preserve">拿鐵風味｜</t>
    </r>
    <r>
      <rPr>
        <sz val="10"/>
        <rFont val="Arial"/>
        <family val="0"/>
        <charset val="1"/>
      </rPr>
      <t xml:space="preserve">500g</t>
    </r>
    <r>
      <rPr>
        <sz val="10"/>
        <rFont val="WenQuanYi Zen Hei"/>
        <family val="2"/>
      </rPr>
      <t xml:space="preserve">袋裝</t>
    </r>
    <r>
      <rPr>
        <sz val="10"/>
        <rFont val="Arial"/>
        <family val="0"/>
        <charset val="1"/>
      </rPr>
      <t xml:space="preserve">-2</t>
    </r>
    <r>
      <rPr>
        <sz val="10"/>
        <rFont val="WenQuanYi Zen Hei"/>
        <family val="2"/>
      </rPr>
      <t xml:space="preserve">入組</t>
    </r>
  </si>
  <si>
    <t xml:space="preserve">LBS001</t>
  </si>
  <si>
    <r>
      <rPr>
        <sz val="10"/>
        <rFont val="WenQuanYi Zen Hei"/>
        <family val="2"/>
      </rPr>
      <t xml:space="preserve">黑芝麻 </t>
    </r>
    <r>
      <rPr>
        <sz val="10"/>
        <rFont val="Arial"/>
        <family val="0"/>
        <charset val="1"/>
      </rPr>
      <t xml:space="preserve">500g </t>
    </r>
    <r>
      <rPr>
        <sz val="10"/>
        <rFont val="WenQuanYi Zen Hei"/>
        <family val="2"/>
      </rPr>
      <t xml:space="preserve">袋 </t>
    </r>
    <r>
      <rPr>
        <sz val="10"/>
        <rFont val="Arial"/>
        <family val="0"/>
        <charset val="1"/>
      </rPr>
      <t xml:space="preserve">1 + </t>
    </r>
    <r>
      <rPr>
        <sz val="10"/>
        <rFont val="WenQuanYi Zen Hei"/>
        <family val="2"/>
      </rPr>
      <t xml:space="preserve">拿鐵 </t>
    </r>
    <r>
      <rPr>
        <sz val="10"/>
        <rFont val="Arial"/>
        <family val="0"/>
        <charset val="1"/>
      </rPr>
      <t xml:space="preserve">500g </t>
    </r>
    <r>
      <rPr>
        <sz val="10"/>
        <rFont val="WenQuanYi Zen Hei"/>
        <family val="2"/>
      </rPr>
      <t xml:space="preserve">袋 </t>
    </r>
    <r>
      <rPr>
        <sz val="10"/>
        <rFont val="Arial"/>
        <family val="0"/>
        <charset val="1"/>
      </rPr>
      <t xml:space="preserve">1</t>
    </r>
  </si>
  <si>
    <r>
      <rPr>
        <sz val="10"/>
        <rFont val="WenQuanYi Zen Hei"/>
        <family val="2"/>
      </rPr>
      <t xml:space="preserve">全能纖穀－抹茶燕麥</t>
    </r>
    <r>
      <rPr>
        <sz val="10"/>
        <rFont val="Arial"/>
        <family val="0"/>
        <charset val="1"/>
      </rPr>
      <t xml:space="preserve">+</t>
    </r>
    <r>
      <rPr>
        <sz val="10"/>
        <rFont val="WenQuanYi Zen Hei"/>
        <family val="2"/>
      </rPr>
      <t xml:space="preserve">開心果可可</t>
    </r>
    <r>
      <rPr>
        <sz val="10"/>
        <rFont val="Arial"/>
        <family val="0"/>
        <charset val="1"/>
      </rPr>
      <t xml:space="preserve">+</t>
    </r>
    <r>
      <rPr>
        <sz val="10"/>
        <rFont val="WenQuanYi Zen Hei"/>
        <family val="2"/>
      </rPr>
      <t xml:space="preserve">綜合穀物｜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盒</t>
    </r>
  </si>
  <si>
    <t xml:space="preserve">PGM001</t>
  </si>
  <si>
    <r>
      <rPr>
        <sz val="10"/>
        <rFont val="WenQuanYi Zen Hei"/>
        <family val="2"/>
      </rPr>
      <t xml:space="preserve">靜岡抹茶燕麥 </t>
    </r>
    <r>
      <rPr>
        <sz val="10"/>
        <rFont val="Arial"/>
        <family val="0"/>
        <charset val="1"/>
      </rPr>
      <t xml:space="preserve">1 + </t>
    </r>
    <r>
      <rPr>
        <sz val="10"/>
        <rFont val="WenQuanYi Zen Hei"/>
        <family val="2"/>
      </rPr>
      <t xml:space="preserve">開心果可可 </t>
    </r>
    <r>
      <rPr>
        <sz val="10"/>
        <rFont val="Arial"/>
        <family val="0"/>
        <charset val="1"/>
      </rPr>
      <t xml:space="preserve">1 + </t>
    </r>
    <r>
      <rPr>
        <sz val="10"/>
        <rFont val="WenQuanYi Zen Hei"/>
        <family val="2"/>
      </rPr>
      <t xml:space="preserve">綜合穀物 </t>
    </r>
    <r>
      <rPr>
        <sz val="10"/>
        <rFont val="Arial"/>
        <family val="0"/>
        <charset val="1"/>
      </rPr>
      <t xml:space="preserve">1</t>
    </r>
  </si>
  <si>
    <r>
      <rPr>
        <sz val="10"/>
        <rFont val="WenQuanYi Zen Hei"/>
        <family val="2"/>
      </rPr>
      <t xml:space="preserve">健人必備－拿鐵風味</t>
    </r>
    <r>
      <rPr>
        <sz val="10"/>
        <rFont val="Arial"/>
        <family val="0"/>
        <charset val="1"/>
      </rPr>
      <t xml:space="preserve">+</t>
    </r>
    <r>
      <rPr>
        <sz val="10"/>
        <rFont val="WenQuanYi Zen Hei"/>
        <family val="2"/>
      </rPr>
      <t xml:space="preserve">開心果可可</t>
    </r>
    <r>
      <rPr>
        <sz val="10"/>
        <rFont val="Arial"/>
        <family val="0"/>
        <charset val="1"/>
      </rPr>
      <t xml:space="preserve">+</t>
    </r>
    <r>
      <rPr>
        <sz val="10"/>
        <rFont val="WenQuanYi Zen Hei"/>
        <family val="2"/>
      </rPr>
      <t xml:space="preserve">綜合穀物｜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盒</t>
    </r>
  </si>
  <si>
    <t xml:space="preserve">LBM003</t>
  </si>
  <si>
    <r>
      <rPr>
        <sz val="10"/>
        <rFont val="WenQuanYi Zen Hei"/>
        <family val="2"/>
      </rPr>
      <t xml:space="preserve">拿鐵 </t>
    </r>
    <r>
      <rPr>
        <sz val="10"/>
        <rFont val="Arial"/>
        <family val="0"/>
        <charset val="1"/>
      </rPr>
      <t xml:space="preserve">1 + </t>
    </r>
    <r>
      <rPr>
        <sz val="10"/>
        <rFont val="WenQuanYi Zen Hei"/>
        <family val="2"/>
      </rPr>
      <t xml:space="preserve">開心果可可 </t>
    </r>
    <r>
      <rPr>
        <sz val="10"/>
        <rFont val="Arial"/>
        <family val="0"/>
        <charset val="1"/>
      </rPr>
      <t xml:space="preserve">1 + </t>
    </r>
    <r>
      <rPr>
        <sz val="10"/>
        <rFont val="WenQuanYi Zen Hei"/>
        <family val="2"/>
      </rPr>
      <t xml:space="preserve">綜合穀物 </t>
    </r>
    <r>
      <rPr>
        <sz val="10"/>
        <rFont val="Arial"/>
        <family val="0"/>
        <charset val="1"/>
      </rPr>
      <t xml:space="preserve">1</t>
    </r>
  </si>
  <si>
    <r>
      <rPr>
        <sz val="10"/>
        <rFont val="WenQuanYi Zen Hei"/>
        <family val="2"/>
      </rPr>
      <t xml:space="preserve">長效續航－拿鐵風味</t>
    </r>
    <r>
      <rPr>
        <sz val="10"/>
        <rFont val="Arial"/>
        <family val="0"/>
        <charset val="1"/>
      </rPr>
      <t xml:space="preserve">+</t>
    </r>
    <r>
      <rPr>
        <sz val="10"/>
        <rFont val="WenQuanYi Zen Hei"/>
        <family val="2"/>
      </rPr>
      <t xml:space="preserve">靜岡抹茶燕麥｜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盒</t>
    </r>
  </si>
  <si>
    <t xml:space="preserve">LBM004</t>
  </si>
  <si>
    <r>
      <rPr>
        <sz val="10"/>
        <rFont val="WenQuanYi Zen Hei"/>
        <family val="2"/>
      </rPr>
      <t xml:space="preserve">拿鐵 </t>
    </r>
    <r>
      <rPr>
        <sz val="10"/>
        <rFont val="Arial"/>
        <family val="0"/>
        <charset val="1"/>
      </rPr>
      <t xml:space="preserve">1 + </t>
    </r>
    <r>
      <rPr>
        <sz val="10"/>
        <rFont val="WenQuanYi Zen Hei"/>
        <family val="2"/>
      </rPr>
      <t xml:space="preserve">靜岡抹茶燕麥 </t>
    </r>
    <r>
      <rPr>
        <sz val="10"/>
        <rFont val="Arial"/>
        <family val="0"/>
        <charset val="1"/>
      </rPr>
      <t xml:space="preserve">1</t>
    </r>
  </si>
  <si>
    <r>
      <rPr>
        <sz val="10"/>
        <rFont val="WenQuanYi Zen Hei"/>
        <family val="2"/>
      </rPr>
      <t xml:space="preserve">零咖啡因組－香蕉牛奶風味</t>
    </r>
    <r>
      <rPr>
        <sz val="10"/>
        <rFont val="Arial"/>
        <family val="0"/>
        <charset val="1"/>
      </rPr>
      <t xml:space="preserve">+</t>
    </r>
    <r>
      <rPr>
        <sz val="10"/>
        <rFont val="WenQuanYi Zen Hei"/>
        <family val="2"/>
      </rPr>
      <t xml:space="preserve">黑芝麻牛奶風味</t>
    </r>
    <r>
      <rPr>
        <sz val="10"/>
        <rFont val="Arial"/>
        <family val="0"/>
        <charset val="1"/>
      </rPr>
      <t xml:space="preserve">+</t>
    </r>
    <r>
      <rPr>
        <sz val="10"/>
        <rFont val="WenQuanYi Zen Hei"/>
        <family val="2"/>
      </rPr>
      <t xml:space="preserve">綜合穀物｜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盒</t>
    </r>
  </si>
  <si>
    <r>
      <rPr>
        <sz val="10"/>
        <rFont val="WenQuanYi Zen Hei"/>
        <family val="2"/>
      </rPr>
      <t xml:space="preserve">（無 </t>
    </r>
    <r>
      <rPr>
        <sz val="10"/>
        <rFont val="Arial"/>
        <family val="0"/>
        <charset val="1"/>
      </rPr>
      <t xml:space="preserve">SKU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</si>
  <si>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香蕉牛奶 </t>
    </r>
    <r>
      <rPr>
        <sz val="10"/>
        <rFont val="Arial"/>
        <family val="0"/>
        <charset val="1"/>
      </rPr>
      <t xml:space="preserve">1 + </t>
    </r>
    <r>
      <rPr>
        <sz val="10"/>
        <rFont val="WenQuanYi Zen Hei"/>
        <family val="2"/>
      </rPr>
      <t xml:space="preserve">黑芝麻牛奶 </t>
    </r>
    <r>
      <rPr>
        <sz val="10"/>
        <rFont val="Arial"/>
        <family val="0"/>
        <charset val="1"/>
      </rPr>
      <t xml:space="preserve">1 + </t>
    </r>
    <r>
      <rPr>
        <sz val="10"/>
        <rFont val="WenQuanYi Zen Hei"/>
        <family val="2"/>
      </rPr>
      <t xml:space="preserve">綜合穀物 </t>
    </r>
    <r>
      <rPr>
        <sz val="10"/>
        <rFont val="Arial"/>
        <family val="0"/>
        <charset val="1"/>
      </rPr>
      <t xml:space="preserve">1</t>
    </r>
  </si>
  <si>
    <r>
      <rPr>
        <sz val="10"/>
        <rFont val="WenQuanYi Zen Hei"/>
        <family val="2"/>
      </rPr>
      <t xml:space="preserve">高纖飽足－拿鐵風味</t>
    </r>
    <r>
      <rPr>
        <sz val="10"/>
        <rFont val="Arial"/>
        <family val="0"/>
        <charset val="1"/>
      </rPr>
      <t xml:space="preserve">+</t>
    </r>
    <r>
      <rPr>
        <sz val="10"/>
        <rFont val="WenQuanYi Zen Hei"/>
        <family val="2"/>
      </rPr>
      <t xml:space="preserve">靜岡抹茶燕麥</t>
    </r>
    <r>
      <rPr>
        <sz val="10"/>
        <rFont val="Arial"/>
        <family val="0"/>
        <charset val="1"/>
      </rPr>
      <t xml:space="preserve">+</t>
    </r>
    <r>
      <rPr>
        <sz val="10"/>
        <rFont val="WenQuanYi Zen Hei"/>
        <family val="2"/>
      </rPr>
      <t xml:space="preserve">綜合穀物｜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盒</t>
    </r>
  </si>
  <si>
    <t xml:space="preserve">LBM007</t>
  </si>
  <si>
    <r>
      <rPr>
        <sz val="10"/>
        <rFont val="WenQuanYi Zen Hei"/>
        <family val="2"/>
      </rPr>
      <t xml:space="preserve">拿鐵 </t>
    </r>
    <r>
      <rPr>
        <sz val="10"/>
        <rFont val="Arial"/>
        <family val="0"/>
        <charset val="1"/>
      </rPr>
      <t xml:space="preserve">1 + </t>
    </r>
    <r>
      <rPr>
        <sz val="10"/>
        <rFont val="WenQuanYi Zen Hei"/>
        <family val="2"/>
      </rPr>
      <t xml:space="preserve">靜岡抹茶燕麥 </t>
    </r>
    <r>
      <rPr>
        <sz val="10"/>
        <rFont val="Arial"/>
        <family val="0"/>
        <charset val="1"/>
      </rPr>
      <t xml:space="preserve">1 + </t>
    </r>
    <r>
      <rPr>
        <sz val="10"/>
        <rFont val="WenQuanYi Zen Hei"/>
        <family val="2"/>
      </rPr>
      <t xml:space="preserve">綜合穀物 </t>
    </r>
    <r>
      <rPr>
        <sz val="10"/>
        <rFont val="Arial"/>
        <family val="0"/>
        <charset val="1"/>
      </rPr>
      <t xml:space="preserve">1</t>
    </r>
  </si>
  <si>
    <r>
      <rPr>
        <sz val="10"/>
        <rFont val="WenQuanYi Zen Hei"/>
        <family val="2"/>
      </rPr>
      <t xml:space="preserve">低碳控醣－拿鐵風味</t>
    </r>
    <r>
      <rPr>
        <sz val="10"/>
        <rFont val="Arial"/>
        <family val="0"/>
        <charset val="1"/>
      </rPr>
      <t xml:space="preserve">+</t>
    </r>
    <r>
      <rPr>
        <sz val="10"/>
        <rFont val="WenQuanYi Zen Hei"/>
        <family val="2"/>
      </rPr>
      <t xml:space="preserve">黑芝麻牛奶風味</t>
    </r>
    <r>
      <rPr>
        <sz val="10"/>
        <rFont val="Arial"/>
        <family val="0"/>
        <charset val="1"/>
      </rPr>
      <t xml:space="preserve">+</t>
    </r>
    <r>
      <rPr>
        <sz val="10"/>
        <rFont val="WenQuanYi Zen Hei"/>
        <family val="2"/>
      </rPr>
      <t xml:space="preserve">綜合穀物｜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盒</t>
    </r>
  </si>
  <si>
    <t xml:space="preserve">LBM002</t>
  </si>
  <si>
    <r>
      <rPr>
        <sz val="10"/>
        <rFont val="WenQuanYi Zen Hei"/>
        <family val="2"/>
      </rPr>
      <t xml:space="preserve">拿鐵 </t>
    </r>
    <r>
      <rPr>
        <sz val="10"/>
        <rFont val="Arial"/>
        <family val="0"/>
        <charset val="1"/>
      </rPr>
      <t xml:space="preserve">1 + </t>
    </r>
    <r>
      <rPr>
        <sz val="10"/>
        <rFont val="WenQuanYi Zen Hei"/>
        <family val="2"/>
      </rPr>
      <t xml:space="preserve">黑芝麻牛奶 </t>
    </r>
    <r>
      <rPr>
        <sz val="10"/>
        <rFont val="Arial"/>
        <family val="0"/>
        <charset val="1"/>
      </rPr>
      <t xml:space="preserve">1 + </t>
    </r>
    <r>
      <rPr>
        <sz val="10"/>
        <rFont val="WenQuanYi Zen Hei"/>
        <family val="2"/>
      </rPr>
      <t xml:space="preserve">綜合穀物 </t>
    </r>
    <r>
      <rPr>
        <sz val="10"/>
        <rFont val="Arial"/>
        <family val="0"/>
        <charset val="1"/>
      </rPr>
      <t xml:space="preserve">1</t>
    </r>
  </si>
  <si>
    <r>
      <rPr>
        <sz val="10"/>
        <rFont val="WenQuanYi Zen Hei"/>
        <family val="2"/>
      </rPr>
      <t xml:space="preserve">爸爸的力氣組－植感奶霧紅茶</t>
    </r>
    <r>
      <rPr>
        <sz val="10"/>
        <rFont val="Arial"/>
        <family val="0"/>
        <charset val="1"/>
      </rPr>
      <t xml:space="preserve">+</t>
    </r>
    <r>
      <rPr>
        <sz val="10"/>
        <rFont val="WenQuanYi Zen Hei"/>
        <family val="2"/>
      </rPr>
      <t xml:space="preserve">綜合穀物</t>
    </r>
    <r>
      <rPr>
        <sz val="10"/>
        <rFont val="Arial"/>
        <family val="0"/>
        <charset val="1"/>
      </rPr>
      <t xml:space="preserve">+</t>
    </r>
    <r>
      <rPr>
        <sz val="10"/>
        <rFont val="WenQuanYi Zen Hei"/>
        <family val="2"/>
      </rPr>
      <t xml:space="preserve">靜岡抹茶燕麥</t>
    </r>
    <r>
      <rPr>
        <sz val="10"/>
        <rFont val="Arial"/>
        <family val="0"/>
        <charset val="1"/>
      </rPr>
      <t xml:space="preserve">+</t>
    </r>
    <r>
      <rPr>
        <sz val="10"/>
        <rFont val="WenQuanYi Zen Hei"/>
        <family val="2"/>
      </rPr>
      <t xml:space="preserve">開心果可可</t>
    </r>
    <r>
      <rPr>
        <sz val="10"/>
        <rFont val="Arial"/>
        <family val="0"/>
        <charset val="1"/>
      </rPr>
      <t xml:space="preserve">+</t>
    </r>
    <r>
      <rPr>
        <sz val="10"/>
        <rFont val="WenQuanYi Zen Hei"/>
        <family val="2"/>
      </rPr>
      <t xml:space="preserve">品牌紙袋</t>
    </r>
  </si>
  <si>
    <t xml:space="preserve">MIX4BAG</t>
  </si>
  <si>
    <r>
      <rPr>
        <sz val="10"/>
        <rFont val="WenQuanYi Zen Hei"/>
        <family val="2"/>
      </rPr>
      <t xml:space="preserve">紅茶 </t>
    </r>
    <r>
      <rPr>
        <sz val="10"/>
        <rFont val="Arial"/>
        <family val="0"/>
        <charset val="1"/>
      </rPr>
      <t xml:space="preserve">1 + </t>
    </r>
    <r>
      <rPr>
        <sz val="10"/>
        <rFont val="WenQuanYi Zen Hei"/>
        <family val="2"/>
      </rPr>
      <t xml:space="preserve">綜合穀物 </t>
    </r>
    <r>
      <rPr>
        <sz val="10"/>
        <rFont val="Arial"/>
        <family val="0"/>
        <charset val="1"/>
      </rPr>
      <t xml:space="preserve">1 + </t>
    </r>
    <r>
      <rPr>
        <sz val="10"/>
        <rFont val="WenQuanYi Zen Hei"/>
        <family val="2"/>
      </rPr>
      <t xml:space="preserve">抹茶 </t>
    </r>
    <r>
      <rPr>
        <sz val="10"/>
        <rFont val="Arial"/>
        <family val="0"/>
        <charset val="1"/>
      </rPr>
      <t xml:space="preserve">1 + </t>
    </r>
    <r>
      <rPr>
        <sz val="10"/>
        <rFont val="WenQuanYi Zen Hei"/>
        <family val="2"/>
      </rPr>
      <t xml:space="preserve">開心果 </t>
    </r>
    <r>
      <rPr>
        <sz val="10"/>
        <rFont val="Arial"/>
        <family val="0"/>
        <charset val="1"/>
      </rPr>
      <t xml:space="preserve">1 + </t>
    </r>
    <r>
      <rPr>
        <sz val="10"/>
        <rFont val="WenQuanYi Zen Hei"/>
        <family val="2"/>
      </rPr>
      <t xml:space="preserve">紙袋</t>
    </r>
  </si>
  <si>
    <r>
      <rPr>
        <sz val="10"/>
        <rFont val="WenQuanYi Zen Hei"/>
        <family val="2"/>
      </rPr>
      <t xml:space="preserve">早安晚安組－香蕉牛奶｜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入＋綜合穀物｜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入</t>
    </r>
  </si>
  <si>
    <t xml:space="preserve">GB0001</t>
  </si>
  <si>
    <r>
      <rPr>
        <sz val="10"/>
        <rFont val="WenQuanYi Zen Hei"/>
        <family val="2"/>
      </rPr>
      <t xml:space="preserve">香蕉牛奶 </t>
    </r>
    <r>
      <rPr>
        <sz val="10"/>
        <rFont val="Arial"/>
        <family val="0"/>
        <charset val="1"/>
      </rPr>
      <t xml:space="preserve">1 </t>
    </r>
    <r>
      <rPr>
        <sz val="10"/>
        <rFont val="WenQuanYi Zen Hei"/>
        <family val="2"/>
      </rPr>
      <t xml:space="preserve">盒 </t>
    </r>
    <r>
      <rPr>
        <sz val="10"/>
        <rFont val="Arial"/>
        <family val="0"/>
        <charset val="1"/>
      </rPr>
      <t xml:space="preserve">+ </t>
    </r>
    <r>
      <rPr>
        <sz val="10"/>
        <rFont val="WenQuanYi Zen Hei"/>
        <family val="2"/>
      </rPr>
      <t xml:space="preserve">綜合穀物 </t>
    </r>
    <r>
      <rPr>
        <sz val="10"/>
        <rFont val="Arial"/>
        <family val="0"/>
        <charset val="1"/>
      </rPr>
      <t xml:space="preserve">1 </t>
    </r>
    <r>
      <rPr>
        <sz val="10"/>
        <rFont val="WenQuanYi Zen Hei"/>
        <family val="2"/>
      </rPr>
      <t xml:space="preserve">盒</t>
    </r>
  </si>
  <si>
    <r>
      <rPr>
        <sz val="10"/>
        <rFont val="WenQuanYi Zen Hei"/>
        <family val="2"/>
      </rPr>
      <t xml:space="preserve">日夜補給組－香蕉牛奶風味＋植感醇黑可可｜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盒</t>
    </r>
  </si>
  <si>
    <t xml:space="preserve">BD0001</t>
  </si>
  <si>
    <r>
      <rPr>
        <sz val="10"/>
        <rFont val="WenQuanYi Zen Hei"/>
        <family val="2"/>
      </rPr>
      <t xml:space="preserve">香蕉牛奶 </t>
    </r>
    <r>
      <rPr>
        <sz val="10"/>
        <rFont val="Arial"/>
        <family val="0"/>
        <charset val="1"/>
      </rPr>
      <t xml:space="preserve">1 </t>
    </r>
    <r>
      <rPr>
        <sz val="10"/>
        <rFont val="WenQuanYi Zen Hei"/>
        <family val="2"/>
      </rPr>
      <t xml:space="preserve">盒 </t>
    </r>
    <r>
      <rPr>
        <sz val="10"/>
        <rFont val="Arial"/>
        <family val="0"/>
        <charset val="1"/>
      </rPr>
      <t xml:space="preserve">+ </t>
    </r>
    <r>
      <rPr>
        <sz val="10"/>
        <rFont val="WenQuanYi Zen Hei"/>
        <family val="2"/>
      </rPr>
      <t xml:space="preserve">植感醇黑可可 </t>
    </r>
    <r>
      <rPr>
        <sz val="10"/>
        <rFont val="Arial"/>
        <family val="0"/>
        <charset val="1"/>
      </rPr>
      <t xml:space="preserve">1 </t>
    </r>
    <r>
      <rPr>
        <sz val="10"/>
        <rFont val="WenQuanYi Zen Hei"/>
        <family val="2"/>
      </rPr>
      <t xml:space="preserve">盒</t>
    </r>
  </si>
  <si>
    <t xml:space="preserve">小計</t>
  </si>
  <si>
    <r>
      <rPr>
        <b val="true"/>
        <sz val="11"/>
        <color rgb="FFFFFFFF"/>
        <rFont val="Arial"/>
        <family val="0"/>
        <charset val="1"/>
      </rPr>
      <t xml:space="preserve">B. App </t>
    </r>
    <r>
      <rPr>
        <b val="true"/>
        <sz val="11"/>
        <color rgb="FFFFFFFF"/>
        <rFont val="WenQuanYi Zen Hei"/>
        <family val="2"/>
      </rPr>
      <t xml:space="preserve">組合包（</t>
    </r>
    <r>
      <rPr>
        <b val="true"/>
        <sz val="11"/>
        <color rgb="FFFFFFFF"/>
        <rFont val="Arial"/>
        <family val="0"/>
        <charset val="1"/>
      </rPr>
      <t xml:space="preserve">Simple Bundles</t>
    </r>
    <r>
      <rPr>
        <b val="true"/>
        <sz val="11"/>
        <color rgb="FFFFFFFF"/>
        <rFont val="WenQuanYi Zen Hei"/>
        <family val="2"/>
      </rPr>
      <t xml:space="preserve">）　－　結帳時自動拆成單品，商品銷售報表看不到組合本身，銷量已計入下方各單品</t>
    </r>
  </si>
  <si>
    <t xml:space="preserve">組合包名稱</t>
  </si>
  <si>
    <t xml:space="preserve">備註</t>
  </si>
  <si>
    <r>
      <rPr>
        <sz val="10"/>
        <rFont val="WenQuanYi Zen Hei"/>
        <family val="2"/>
      </rPr>
      <t xml:space="preserve">隨手包</t>
    </r>
    <r>
      <rPr>
        <sz val="10"/>
        <rFont val="Arial"/>
        <family val="0"/>
        <charset val="1"/>
      </rPr>
      <t xml:space="preserve">-</t>
    </r>
    <r>
      <rPr>
        <sz val="10"/>
        <rFont val="WenQuanYi Zen Hei"/>
        <family val="2"/>
      </rPr>
      <t xml:space="preserve">全素豌豆蛋白飲</t>
    </r>
    <r>
      <rPr>
        <sz val="10"/>
        <rFont val="Arial"/>
        <family val="0"/>
        <charset val="1"/>
      </rPr>
      <t xml:space="preserve">-</t>
    </r>
    <r>
      <rPr>
        <sz val="10"/>
        <rFont val="WenQuanYi Zen Hei"/>
        <family val="2"/>
      </rPr>
      <t xml:space="preserve">任選口味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入</t>
    </r>
  </si>
  <si>
    <r>
      <rPr>
        <sz val="10"/>
        <rFont val="WenQuanYi Zen Hei"/>
        <family val="2"/>
      </rPr>
      <t xml:space="preserve">（拆單，無獨立 </t>
    </r>
    <r>
      <rPr>
        <sz val="10"/>
        <rFont val="Arial"/>
        <family val="0"/>
        <charset val="1"/>
      </rPr>
      <t xml:space="preserve">SKU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</si>
  <si>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任選 </t>
    </r>
    <r>
      <rPr>
        <sz val="10"/>
        <rFont val="Arial"/>
        <family val="0"/>
        <charset val="1"/>
      </rPr>
      <t xml:space="preserve">12 </t>
    </r>
    <r>
      <rPr>
        <sz val="10"/>
        <rFont val="WenQuanYi Zen Hei"/>
        <family val="2"/>
      </rPr>
      <t xml:space="preserve">包（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入 </t>
    </r>
    <r>
      <rPr>
        <sz val="10"/>
        <rFont val="Arial"/>
        <family val="0"/>
        <charset val="1"/>
      </rPr>
      <t xml:space="preserve">× 12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</si>
  <si>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拆成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入 單品計入各口味</t>
    </r>
  </si>
  <si>
    <r>
      <rPr>
        <sz val="10"/>
        <rFont val="WenQuanYi Zen Hei"/>
        <family val="2"/>
      </rPr>
      <t xml:space="preserve">新手入門組</t>
    </r>
    <r>
      <rPr>
        <sz val="10"/>
        <rFont val="Arial"/>
        <family val="0"/>
        <charset val="1"/>
      </rPr>
      <t xml:space="preserve">-</t>
    </r>
    <r>
      <rPr>
        <sz val="10"/>
        <rFont val="WenQuanYi Zen Hei"/>
        <family val="2"/>
      </rPr>
      <t xml:space="preserve">全素豌豆蛋白飲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入組</t>
    </r>
    <r>
      <rPr>
        <sz val="10"/>
        <rFont val="Arial"/>
        <family val="0"/>
        <charset val="1"/>
      </rPr>
      <t xml:space="preserve">+</t>
    </r>
    <r>
      <rPr>
        <sz val="10"/>
        <rFont val="WenQuanYi Zen Hei"/>
        <family val="2"/>
      </rPr>
      <t xml:space="preserve">經典搖搖杯</t>
    </r>
  </si>
  <si>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入組 </t>
    </r>
    <r>
      <rPr>
        <sz val="10"/>
        <rFont val="Arial"/>
        <family val="0"/>
        <charset val="1"/>
      </rPr>
      <t xml:space="preserve">1 </t>
    </r>
    <r>
      <rPr>
        <sz val="10"/>
        <rFont val="WenQuanYi Zen Hei"/>
        <family val="2"/>
      </rPr>
      <t xml:space="preserve">盒 </t>
    </r>
    <r>
      <rPr>
        <sz val="10"/>
        <rFont val="Arial"/>
        <family val="0"/>
        <charset val="1"/>
      </rPr>
      <t xml:space="preserve">+ </t>
    </r>
    <r>
      <rPr>
        <sz val="10"/>
        <rFont val="WenQuanYi Zen Hei"/>
        <family val="2"/>
      </rPr>
      <t xml:space="preserve">經典搖搖杯 </t>
    </r>
    <r>
      <rPr>
        <sz val="10"/>
        <rFont val="Arial"/>
        <family val="0"/>
        <charset val="1"/>
      </rPr>
      <t xml:space="preserve">1</t>
    </r>
  </si>
  <si>
    <r>
      <rPr>
        <sz val="10"/>
        <rFont val="WenQuanYi Zen Hei"/>
        <family val="2"/>
      </rPr>
      <t xml:space="preserve">拆成 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入組 </t>
    </r>
    <r>
      <rPr>
        <sz val="10"/>
        <rFont val="Arial"/>
        <family val="0"/>
        <charset val="1"/>
      </rPr>
      <t xml:space="preserve">+ </t>
    </r>
    <r>
      <rPr>
        <sz val="10"/>
        <rFont val="WenQuanYi Zen Hei"/>
        <family val="2"/>
      </rPr>
      <t xml:space="preserve">搖搖杯</t>
    </r>
  </si>
  <si>
    <r>
      <rPr>
        <sz val="10"/>
        <rFont val="WenQuanYi Zen Hei"/>
        <family val="2"/>
      </rPr>
      <t xml:space="preserve">全素豌豆蛋白飲</t>
    </r>
    <r>
      <rPr>
        <sz val="10"/>
        <rFont val="Arial"/>
        <family val="0"/>
        <charset val="1"/>
      </rPr>
      <t xml:space="preserve">-</t>
    </r>
    <r>
      <rPr>
        <sz val="10"/>
        <rFont val="WenQuanYi Zen Hei"/>
        <family val="2"/>
      </rPr>
      <t xml:space="preserve">任選口味</t>
    </r>
    <r>
      <rPr>
        <sz val="10"/>
        <rFont val="Arial"/>
        <family val="0"/>
        <charset val="1"/>
      </rPr>
      <t xml:space="preserve">(12</t>
    </r>
    <r>
      <rPr>
        <sz val="10"/>
        <rFont val="WenQuanYi Zen Hei"/>
        <family val="2"/>
      </rPr>
      <t xml:space="preserve">包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盒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盒</t>
    </r>
  </si>
  <si>
    <r>
      <rPr>
        <sz val="10"/>
        <rFont val="WenQuanYi Zen Hei"/>
        <family val="2"/>
      </rPr>
      <t xml:space="preserve">任選 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入組 </t>
    </r>
    <r>
      <rPr>
        <sz val="10"/>
        <rFont val="Arial"/>
        <family val="0"/>
        <charset val="1"/>
      </rPr>
      <t xml:space="preserve">4 </t>
    </r>
    <r>
      <rPr>
        <sz val="10"/>
        <rFont val="WenQuanYi Zen Hei"/>
        <family val="2"/>
      </rPr>
      <t xml:space="preserve">盒</t>
    </r>
  </si>
  <si>
    <r>
      <rPr>
        <sz val="10"/>
        <rFont val="WenQuanYi Zen Hei"/>
        <family val="2"/>
      </rPr>
      <t xml:space="preserve">拆成 </t>
    </r>
    <r>
      <rPr>
        <sz val="10"/>
        <rFont val="Arial"/>
        <family val="0"/>
        <charset val="1"/>
      </rPr>
      <t xml:space="preserve">4 </t>
    </r>
    <r>
      <rPr>
        <sz val="10"/>
        <rFont val="WenQuanYi Zen Hei"/>
        <family val="2"/>
      </rPr>
      <t xml:space="preserve">個 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入組</t>
    </r>
  </si>
  <si>
    <r>
      <rPr>
        <sz val="10"/>
        <rFont val="WenQuanYi Zen Hei"/>
        <family val="2"/>
      </rPr>
      <t xml:space="preserve">入門全配組</t>
    </r>
    <r>
      <rPr>
        <sz val="10"/>
        <rFont val="Arial"/>
        <family val="0"/>
        <charset val="1"/>
      </rPr>
      <t xml:space="preserve">-</t>
    </r>
    <r>
      <rPr>
        <sz val="10"/>
        <rFont val="WenQuanYi Zen Hei"/>
        <family val="2"/>
      </rPr>
      <t xml:space="preserve">全素豌豆蛋白</t>
    </r>
    <r>
      <rPr>
        <sz val="10"/>
        <rFont val="Arial"/>
        <family val="0"/>
        <charset val="1"/>
      </rPr>
      <t xml:space="preserve">500g+</t>
    </r>
    <r>
      <rPr>
        <sz val="10"/>
        <rFont val="WenQuanYi Zen Hei"/>
        <family val="2"/>
      </rPr>
      <t xml:space="preserve">全素豌豆隨手包</t>
    </r>
    <r>
      <rPr>
        <sz val="10"/>
        <rFont val="Arial"/>
        <family val="0"/>
        <charset val="1"/>
      </rPr>
      <t xml:space="preserve">+</t>
    </r>
    <r>
      <rPr>
        <sz val="10"/>
        <rFont val="WenQuanYi Zen Hei"/>
        <family val="2"/>
      </rPr>
      <t xml:space="preserve">經典搖搖杯</t>
    </r>
  </si>
  <si>
    <r>
      <rPr>
        <sz val="10"/>
        <rFont val="Arial"/>
        <family val="0"/>
        <charset val="1"/>
      </rPr>
      <t xml:space="preserve">500g </t>
    </r>
    <r>
      <rPr>
        <sz val="10"/>
        <rFont val="WenQuanYi Zen Hei"/>
        <family val="2"/>
      </rPr>
      <t xml:space="preserve">袋 </t>
    </r>
    <r>
      <rPr>
        <sz val="10"/>
        <rFont val="Arial"/>
        <family val="0"/>
        <charset val="1"/>
      </rPr>
      <t xml:space="preserve">1 + </t>
    </r>
    <r>
      <rPr>
        <sz val="10"/>
        <rFont val="WenQuanYi Zen Hei"/>
        <family val="2"/>
      </rPr>
      <t xml:space="preserve">隨手包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入 </t>
    </r>
    <r>
      <rPr>
        <sz val="10"/>
        <rFont val="Arial"/>
        <family val="0"/>
        <charset val="1"/>
      </rPr>
      <t xml:space="preserve">1 + </t>
    </r>
    <r>
      <rPr>
        <sz val="10"/>
        <rFont val="WenQuanYi Zen Hei"/>
        <family val="2"/>
      </rPr>
      <t xml:space="preserve">搖搖杯 </t>
    </r>
    <r>
      <rPr>
        <sz val="10"/>
        <rFont val="Arial"/>
        <family val="0"/>
        <charset val="1"/>
      </rPr>
      <t xml:space="preserve">1</t>
    </r>
  </si>
  <si>
    <r>
      <rPr>
        <sz val="10"/>
        <rFont val="WenQuanYi Zen Hei"/>
        <family val="2"/>
      </rPr>
      <t xml:space="preserve">拆成 </t>
    </r>
    <r>
      <rPr>
        <sz val="10"/>
        <rFont val="Arial"/>
        <family val="0"/>
        <charset val="1"/>
      </rPr>
      <t xml:space="preserve">500g + 1</t>
    </r>
    <r>
      <rPr>
        <sz val="10"/>
        <rFont val="WenQuanYi Zen Hei"/>
        <family val="2"/>
      </rPr>
      <t xml:space="preserve">入 </t>
    </r>
    <r>
      <rPr>
        <sz val="10"/>
        <rFont val="Arial"/>
        <family val="0"/>
        <charset val="1"/>
      </rPr>
      <t xml:space="preserve">+ </t>
    </r>
    <r>
      <rPr>
        <sz val="10"/>
        <rFont val="WenQuanYi Zen Hei"/>
        <family val="2"/>
      </rPr>
      <t xml:space="preserve">搖搖杯</t>
    </r>
  </si>
  <si>
    <r>
      <rPr>
        <sz val="10"/>
        <rFont val="WenQuanYi Zen Hei"/>
        <family val="2"/>
      </rPr>
      <t xml:space="preserve">任選隨手包組</t>
    </r>
    <r>
      <rPr>
        <sz val="10"/>
        <rFont val="Arial"/>
        <family val="0"/>
        <charset val="1"/>
      </rPr>
      <t xml:space="preserve">-5</t>
    </r>
    <r>
      <rPr>
        <sz val="10"/>
        <rFont val="WenQuanYi Zen Hei"/>
        <family val="2"/>
      </rPr>
      <t xml:space="preserve">入體驗組</t>
    </r>
  </si>
  <si>
    <r>
      <rPr>
        <sz val="10"/>
        <rFont val="WenQuanYi Zen Hei"/>
        <family val="2"/>
      </rPr>
      <t xml:space="preserve">任選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入 </t>
    </r>
    <r>
      <rPr>
        <sz val="10"/>
        <rFont val="Arial"/>
        <family val="0"/>
        <charset val="1"/>
      </rPr>
      <t xml:space="preserve">× 5</t>
    </r>
  </si>
  <si>
    <r>
      <rPr>
        <sz val="10"/>
        <rFont val="Arial"/>
        <family val="0"/>
        <charset val="1"/>
      </rPr>
      <t xml:space="preserve">7 </t>
    </r>
    <r>
      <rPr>
        <sz val="10"/>
        <rFont val="WenQuanYi Zen Hei"/>
        <family val="2"/>
      </rPr>
      <t xml:space="preserve">月 </t>
    </r>
    <r>
      <rPr>
        <sz val="10"/>
        <rFont val="Arial"/>
        <family val="0"/>
        <charset val="1"/>
      </rPr>
      <t xml:space="preserve">2 </t>
    </r>
    <r>
      <rPr>
        <sz val="10"/>
        <rFont val="WenQuanYi Zen Hei"/>
        <family val="2"/>
      </rPr>
      <t xml:space="preserve">筆訂單皆已取消，淨銷量 </t>
    </r>
    <r>
      <rPr>
        <sz val="10"/>
        <rFont val="Arial"/>
        <family val="0"/>
        <charset val="1"/>
      </rPr>
      <t xml:space="preserve">0</t>
    </r>
  </si>
  <si>
    <r>
      <rPr>
        <b val="true"/>
        <sz val="10"/>
        <rFont val="WenQuanYi Zen Hei"/>
        <family val="2"/>
      </rPr>
      <t xml:space="preserve">組合品項合計（</t>
    </r>
    <r>
      <rPr>
        <b val="true"/>
        <sz val="10"/>
        <rFont val="Arial"/>
        <family val="0"/>
        <charset val="1"/>
      </rPr>
      <t xml:space="preserve">A + B</t>
    </r>
    <r>
      <rPr>
        <b val="true"/>
        <sz val="10"/>
        <rFont val="WenQuanYi Zen Hei"/>
        <family val="2"/>
      </rPr>
      <t xml:space="preserve">）</t>
    </r>
  </si>
  <si>
    <t xml:space="preserve">說明</t>
  </si>
  <si>
    <r>
      <rPr>
        <sz val="9"/>
        <color rgb="FF595959"/>
        <rFont val="Arial"/>
        <family val="0"/>
        <charset val="1"/>
      </rPr>
      <t xml:space="preserve">1. </t>
    </r>
    <r>
      <rPr>
        <sz val="9"/>
        <color rgb="FF595959"/>
        <rFont val="WenQuanYi Zen Hei"/>
        <family val="2"/>
      </rPr>
      <t xml:space="preserve">資料來源：</t>
    </r>
    <r>
      <rPr>
        <sz val="9"/>
        <color rgb="FF595959"/>
        <rFont val="Arial"/>
        <family val="0"/>
        <charset val="1"/>
      </rPr>
      <t xml:space="preserve">Shopify Admin API </t>
    </r>
    <r>
      <rPr>
        <sz val="9"/>
        <color rgb="FF595959"/>
        <rFont val="WenQuanYi Zen Hei"/>
        <family val="2"/>
      </rPr>
      <t xml:space="preserve">訂單明細（訂單 </t>
    </r>
    <r>
      <rPr>
        <sz val="9"/>
        <color rgb="FF595959"/>
        <rFont val="Arial"/>
        <family val="0"/>
        <charset val="1"/>
      </rPr>
      <t xml:space="preserve">#2528–#2670</t>
    </r>
    <r>
      <rPr>
        <sz val="9"/>
        <color rgb="FF595959"/>
        <rFont val="WenQuanYi Zen Hei"/>
        <family val="2"/>
      </rPr>
      <t xml:space="preserve">，建立時間 </t>
    </r>
    <r>
      <rPr>
        <sz val="9"/>
        <color rgb="FF595959"/>
        <rFont val="Arial"/>
        <family val="0"/>
        <charset val="1"/>
      </rPr>
      <t xml:space="preserve">2026/07/01 00:00 – 07/31 23:59 </t>
    </r>
    <r>
      <rPr>
        <sz val="9"/>
        <color rgb="FF595959"/>
        <rFont val="WenQuanYi Zen Hei"/>
        <family val="2"/>
      </rPr>
      <t xml:space="preserve">台北時間），金額欄位取自 </t>
    </r>
    <r>
      <rPr>
        <sz val="9"/>
        <color rgb="FF595959"/>
        <rFont val="Arial"/>
        <family val="0"/>
        <charset val="1"/>
      </rPr>
      <t xml:space="preserve">ShopifyQL sales </t>
    </r>
    <r>
      <rPr>
        <sz val="9"/>
        <color rgb="FF595959"/>
        <rFont val="WenQuanYi Zen Hei"/>
        <family val="2"/>
      </rPr>
      <t xml:space="preserve">報表。</t>
    </r>
  </si>
  <si>
    <r>
      <rPr>
        <sz val="9"/>
        <color rgb="FF595959"/>
        <rFont val="Arial"/>
        <family val="0"/>
        <charset val="1"/>
      </rPr>
      <t xml:space="preserve">2. </t>
    </r>
    <r>
      <rPr>
        <sz val="9"/>
        <color rgb="FF595959"/>
        <rFont val="WenQuanYi Zen Hei"/>
        <family val="2"/>
      </rPr>
      <t xml:space="preserve">「銷售組數」為淨數量（</t>
    </r>
    <r>
      <rPr>
        <sz val="9"/>
        <color rgb="FF595959"/>
        <rFont val="Arial"/>
        <family val="0"/>
        <charset val="1"/>
      </rPr>
      <t xml:space="preserve">currentQuantity</t>
    </r>
    <r>
      <rPr>
        <sz val="9"/>
        <color rgb="FF595959"/>
        <rFont val="WenQuanYi Zen Hei"/>
        <family val="2"/>
      </rPr>
      <t xml:space="preserve">），已扣除取消訂單與退貨</t>
    </r>
    <r>
      <rPr>
        <sz val="9"/>
        <color rgb="FF595959"/>
        <rFont val="Arial"/>
        <family val="0"/>
        <charset val="1"/>
      </rPr>
      <t xml:space="preserve">/</t>
    </r>
    <r>
      <rPr>
        <sz val="9"/>
        <color rgb="FF595959"/>
        <rFont val="WenQuanYi Zen Hei"/>
        <family val="2"/>
      </rPr>
      <t xml:space="preserve">退款品項；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區各列數量與 </t>
    </r>
    <r>
      <rPr>
        <sz val="9"/>
        <color rgb="FF595959"/>
        <rFont val="Arial"/>
        <family val="0"/>
        <charset val="1"/>
      </rPr>
      <t xml:space="preserve">Shopify </t>
    </r>
    <r>
      <rPr>
        <sz val="9"/>
        <color rgb="FF595959"/>
        <rFont val="WenQuanYi Zen Hei"/>
        <family val="2"/>
      </rPr>
      <t xml:space="preserve">商品報表逐筆核對一致。</t>
    </r>
  </si>
  <si>
    <r>
      <rPr>
        <sz val="9"/>
        <color rgb="FF595959"/>
        <rFont val="Arial"/>
        <family val="0"/>
        <charset val="1"/>
      </rPr>
      <t xml:space="preserve">3. A </t>
    </r>
    <r>
      <rPr>
        <sz val="9"/>
        <color rgb="FF595959"/>
        <rFont val="WenQuanYi Zen Hei"/>
        <family val="2"/>
      </rPr>
      <t xml:space="preserve">區「訂單數」為含該品項的訂單筆數，故各列相加會大於實際訂單總數（同一張訂單可能含多個組合）。</t>
    </r>
  </si>
  <si>
    <r>
      <rPr>
        <sz val="9"/>
        <color rgb="FF595959"/>
        <rFont val="Arial"/>
        <family val="0"/>
        <charset val="1"/>
      </rPr>
      <t xml:space="preserve">4. </t>
    </r>
    <r>
      <rPr>
        <sz val="9"/>
        <color rgb="FF595959"/>
        <rFont val="WenQuanYi Zen Hei"/>
        <family val="2"/>
      </rPr>
      <t xml:space="preserve">日夜補給組（</t>
    </r>
    <r>
      <rPr>
        <sz val="9"/>
        <color rgb="FF595959"/>
        <rFont val="Arial"/>
        <family val="0"/>
        <charset val="1"/>
      </rPr>
      <t xml:space="preserve">BD0001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WenQuanYi Zen Hei"/>
        <family val="2"/>
      </rPr>
      <t xml:space="preserve">月唯一一筆訂單已取消，故淨銷量為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，但仍列出供對照。</t>
    </r>
  </si>
  <si>
    <r>
      <rPr>
        <sz val="9"/>
        <color rgb="FF595959"/>
        <rFont val="Arial"/>
        <family val="0"/>
        <charset val="1"/>
      </rPr>
      <t xml:space="preserve">5. B </t>
    </r>
    <r>
      <rPr>
        <sz val="9"/>
        <color rgb="FF595959"/>
        <rFont val="WenQuanYi Zen Hei"/>
        <family val="2"/>
      </rPr>
      <t xml:space="preserve">區組合包由 </t>
    </r>
    <r>
      <rPr>
        <sz val="9"/>
        <color rgb="FF595959"/>
        <rFont val="Arial"/>
        <family val="0"/>
        <charset val="1"/>
      </rPr>
      <t xml:space="preserve">Simple Bundles App </t>
    </r>
    <r>
      <rPr>
        <sz val="9"/>
        <color rgb="FF595959"/>
        <rFont val="WenQuanYi Zen Hei"/>
        <family val="2"/>
      </rPr>
      <t xml:space="preserve">於結帳時拆單，</t>
    </r>
    <r>
      <rPr>
        <sz val="9"/>
        <color rgb="FF595959"/>
        <rFont val="Arial"/>
        <family val="0"/>
        <charset val="1"/>
      </rPr>
      <t xml:space="preserve">Shopify </t>
    </r>
    <r>
      <rPr>
        <sz val="9"/>
        <color rgb="FF595959"/>
        <rFont val="WenQuanYi Zen Hei"/>
        <family val="2"/>
      </rPr>
      <t xml:space="preserve">商品報表只會看到拆開後的單品，因此若只看商品報表會漏掉這 </t>
    </r>
    <r>
      <rPr>
        <sz val="9"/>
        <color rgb="FF595959"/>
        <rFont val="Arial"/>
        <family val="0"/>
        <charset val="1"/>
      </rPr>
      <t xml:space="preserve">30 </t>
    </r>
    <r>
      <rPr>
        <sz val="9"/>
        <color rgb="FF595959"/>
        <rFont val="WenQuanYi Zen Hei"/>
        <family val="2"/>
      </rPr>
      <t xml:space="preserve">組的組合銷售；組數依訂單行的 </t>
    </r>
    <r>
      <rPr>
        <sz val="9"/>
        <color rgb="FF595959"/>
        <rFont val="Arial"/>
        <family val="0"/>
        <charset val="1"/>
      </rPr>
      <t xml:space="preserve">bundle group </t>
    </r>
    <r>
      <rPr>
        <sz val="9"/>
        <color rgb="FF595959"/>
        <rFont val="WenQuanYi Zen Hei"/>
        <family val="2"/>
      </rPr>
      <t xml:space="preserve">與數量還原。</t>
    </r>
  </si>
  <si>
    <r>
      <rPr>
        <sz val="9"/>
        <color rgb="FF595959"/>
        <rFont val="Arial"/>
        <family val="0"/>
        <charset val="1"/>
      </rPr>
      <t xml:space="preserve">6. </t>
    </r>
    <r>
      <rPr>
        <sz val="9"/>
        <color rgb="FF595959"/>
        <rFont val="WenQuanYi Zen Hei"/>
        <family val="2"/>
      </rPr>
      <t xml:space="preserve">早晚常備組（</t>
    </r>
    <r>
      <rPr>
        <sz val="9"/>
        <color rgb="FF595959"/>
        <rFont val="Arial"/>
        <family val="0"/>
        <charset val="1"/>
      </rPr>
      <t xml:space="preserve">LBS001</t>
    </r>
    <r>
      <rPr>
        <sz val="9"/>
        <color rgb="FF595959"/>
        <rFont val="WenQuanYi Zen Hei"/>
        <family val="2"/>
      </rPr>
      <t xml:space="preserve">）與入門全配組內含 </t>
    </r>
    <r>
      <rPr>
        <sz val="9"/>
        <color rgb="FF595959"/>
        <rFont val="Arial"/>
        <family val="0"/>
        <charset val="1"/>
      </rPr>
      <t xml:space="preserve">500g </t>
    </r>
    <r>
      <rPr>
        <sz val="9"/>
        <color rgb="FF595959"/>
        <rFont val="WenQuanYi Zen Hei"/>
        <family val="2"/>
      </rPr>
      <t xml:space="preserve">袋裝，非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WenQuanYi Zen Hei"/>
        <family val="2"/>
      </rPr>
      <t xml:space="preserve">入盒裝，換算方式見第二個分頁。</t>
    </r>
  </si>
  <si>
    <r>
      <rPr>
        <b val="true"/>
        <sz val="14"/>
        <rFont val="Arial"/>
        <family val="0"/>
        <charset val="1"/>
      </rPr>
      <t xml:space="preserve">AGUGU</t>
    </r>
    <r>
      <rPr>
        <b val="true"/>
        <sz val="14"/>
        <rFont val="WenQuanYi Zen Hei"/>
        <family val="2"/>
      </rPr>
      <t xml:space="preserve">｜組合品項換算成 </t>
    </r>
    <r>
      <rPr>
        <b val="true"/>
        <sz val="14"/>
        <rFont val="Arial"/>
        <family val="0"/>
        <charset val="1"/>
      </rPr>
      <t xml:space="preserve">1</t>
    </r>
    <r>
      <rPr>
        <b val="true"/>
        <sz val="14"/>
        <rFont val="WenQuanYi Zen Hei"/>
        <family val="2"/>
      </rPr>
      <t xml:space="preserve">入 </t>
    </r>
    <r>
      <rPr>
        <b val="true"/>
        <sz val="14"/>
        <rFont val="Arial"/>
        <family val="0"/>
        <charset val="1"/>
      </rPr>
      <t xml:space="preserve">/ 12</t>
    </r>
    <r>
      <rPr>
        <b val="true"/>
        <sz val="14"/>
        <rFont val="WenQuanYi Zen Hei"/>
        <family val="2"/>
      </rPr>
      <t xml:space="preserve">入盒數</t>
    </r>
  </si>
  <si>
    <r>
      <rPr>
        <i val="true"/>
        <sz val="9"/>
        <color rgb="FF595959"/>
        <rFont val="WenQuanYi Zen Hei"/>
        <family val="2"/>
      </rPr>
      <t xml:space="preserve">期間：</t>
    </r>
    <r>
      <rPr>
        <i val="true"/>
        <sz val="9"/>
        <color rgb="FF595959"/>
        <rFont val="Arial"/>
        <family val="0"/>
        <charset val="1"/>
      </rPr>
      <t xml:space="preserve">2026/07/01 – 2026/07/31</t>
    </r>
    <r>
      <rPr>
        <i val="true"/>
        <sz val="9"/>
        <color rgb="FF595959"/>
        <rFont val="WenQuanYi Zen Hei"/>
        <family val="2"/>
      </rPr>
      <t xml:space="preserve">（台北時間）　｜　換算基準：</t>
    </r>
    <r>
      <rPr>
        <i val="true"/>
        <sz val="9"/>
        <color rgb="FF595959"/>
        <rFont val="Arial"/>
        <family val="0"/>
        <charset val="1"/>
      </rPr>
      <t xml:space="preserve">1 </t>
    </r>
    <r>
      <rPr>
        <i val="true"/>
        <sz val="9"/>
        <color rgb="FF595959"/>
        <rFont val="WenQuanYi Zen Hei"/>
        <family val="2"/>
      </rPr>
      <t xml:space="preserve">盒 </t>
    </r>
    <r>
      <rPr>
        <i val="true"/>
        <sz val="9"/>
        <color rgb="FF595959"/>
        <rFont val="Arial"/>
        <family val="0"/>
        <charset val="1"/>
      </rPr>
      <t xml:space="preserve">= 12 </t>
    </r>
    <r>
      <rPr>
        <i val="true"/>
        <sz val="9"/>
        <color rgb="FF595959"/>
        <rFont val="WenQuanYi Zen Hei"/>
        <family val="2"/>
      </rPr>
      <t xml:space="preserve">入</t>
    </r>
  </si>
  <si>
    <r>
      <rPr>
        <b val="true"/>
        <sz val="11"/>
        <color rgb="FFFFFFFF"/>
        <rFont val="Arial"/>
        <family val="0"/>
        <charset val="1"/>
      </rPr>
      <t xml:space="preserve">A. </t>
    </r>
    <r>
      <rPr>
        <b val="true"/>
        <sz val="11"/>
        <color rgb="FFFFFFFF"/>
        <rFont val="WenQuanYi Zen Hei"/>
        <family val="2"/>
      </rPr>
      <t xml:space="preserve">各組合換算　－　每組拆成幾盒（</t>
    </r>
    <r>
      <rPr>
        <b val="true"/>
        <sz val="11"/>
        <color rgb="FFFFFFFF"/>
        <rFont val="Arial"/>
        <family val="0"/>
        <charset val="1"/>
      </rPr>
      <t xml:space="preserve">12</t>
    </r>
    <r>
      <rPr>
        <b val="true"/>
        <sz val="11"/>
        <color rgb="FFFFFFFF"/>
        <rFont val="WenQuanYi Zen Hei"/>
        <family val="2"/>
      </rPr>
      <t xml:space="preserve">入）與幾入（</t>
    </r>
    <r>
      <rPr>
        <b val="true"/>
        <sz val="11"/>
        <color rgb="FFFFFFFF"/>
        <rFont val="Arial"/>
        <family val="0"/>
        <charset val="1"/>
      </rPr>
      <t xml:space="preserve">1</t>
    </r>
    <r>
      <rPr>
        <b val="true"/>
        <sz val="11"/>
        <color rgb="FFFFFFFF"/>
        <rFont val="WenQuanYi Zen Hei"/>
        <family val="2"/>
      </rPr>
      <t xml:space="preserve">入）</t>
    </r>
  </si>
  <si>
    <t xml:space="preserve">組合名稱</t>
  </si>
  <si>
    <r>
      <rPr>
        <b val="true"/>
        <sz val="10"/>
        <rFont val="WenQuanYi Zen Hei"/>
        <family val="2"/>
      </rPr>
      <t xml:space="preserve">每組盒數
</t>
    </r>
    <r>
      <rPr>
        <b val="true"/>
        <sz val="10"/>
        <rFont val="Arial"/>
        <family val="0"/>
        <charset val="1"/>
      </rPr>
      <t xml:space="preserve">(12</t>
    </r>
    <r>
      <rPr>
        <b val="true"/>
        <sz val="10"/>
        <rFont val="WenQuanYi Zen Hei"/>
        <family val="2"/>
      </rPr>
      <t xml:space="preserve">入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WenQuanYi Zen Hei"/>
        <family val="2"/>
      </rPr>
      <t xml:space="preserve">盒</t>
    </r>
    <r>
      <rPr>
        <b val="true"/>
        <sz val="10"/>
        <rFont val="Arial"/>
        <family val="0"/>
        <charset val="1"/>
      </rPr>
      <t xml:space="preserve">)</t>
    </r>
  </si>
  <si>
    <t xml:space="preserve">換算總盒數</t>
  </si>
  <si>
    <r>
      <rPr>
        <b val="true"/>
        <sz val="10"/>
        <rFont val="WenQuanYi Zen Hei"/>
        <family val="2"/>
      </rPr>
      <t xml:space="preserve">換算總入數
</t>
    </r>
    <r>
      <rPr>
        <b val="true"/>
        <sz val="10"/>
        <rFont val="Arial"/>
        <family val="0"/>
        <charset val="1"/>
      </rPr>
      <t xml:space="preserve">(1</t>
    </r>
    <r>
      <rPr>
        <b val="true"/>
        <sz val="10"/>
        <rFont val="WenQuanYi Zen Hei"/>
        <family val="2"/>
      </rPr>
      <t xml:space="preserve">入</t>
    </r>
    <r>
      <rPr>
        <b val="true"/>
        <sz val="10"/>
        <rFont val="Arial"/>
        <family val="0"/>
        <charset val="1"/>
      </rPr>
      <t xml:space="preserve">)</t>
    </r>
  </si>
  <si>
    <t xml:space="preserve">非盒裝內容物</t>
  </si>
  <si>
    <r>
      <rPr>
        <sz val="10"/>
        <rFont val="WenQuanYi Zen Hei"/>
        <family val="2"/>
      </rPr>
      <t xml:space="preserve">晚安舒緩｜任選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盒 </t>
    </r>
    <r>
      <rPr>
        <sz val="10"/>
        <rFont val="Arial"/>
        <family val="0"/>
        <charset val="1"/>
      </rPr>
      <t xml:space="preserve">(PBS001)</t>
    </r>
  </si>
  <si>
    <r>
      <rPr>
        <sz val="10"/>
        <rFont val="WenQuanYi Zen Hei"/>
        <family val="2"/>
      </rPr>
      <t xml:space="preserve">解饞不罪惡｜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盒 </t>
    </r>
    <r>
      <rPr>
        <sz val="10"/>
        <rFont val="Arial"/>
        <family val="0"/>
        <charset val="1"/>
      </rPr>
      <t xml:space="preserve">(LBM005)</t>
    </r>
  </si>
  <si>
    <r>
      <rPr>
        <sz val="10"/>
        <rFont val="WenQuanYi Zen Hei"/>
        <family val="2"/>
      </rPr>
      <t xml:space="preserve">全能纖穀｜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盒 </t>
    </r>
    <r>
      <rPr>
        <sz val="10"/>
        <rFont val="Arial"/>
        <family val="0"/>
        <charset val="1"/>
      </rPr>
      <t xml:space="preserve">(PGM001)</t>
    </r>
  </si>
  <si>
    <r>
      <rPr>
        <sz val="10"/>
        <rFont val="WenQuanYi Zen Hei"/>
        <family val="2"/>
      </rPr>
      <t xml:space="preserve">健人必備｜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盒 </t>
    </r>
    <r>
      <rPr>
        <sz val="10"/>
        <rFont val="Arial"/>
        <family val="0"/>
        <charset val="1"/>
      </rPr>
      <t xml:space="preserve">(LBM003)</t>
    </r>
  </si>
  <si>
    <r>
      <rPr>
        <sz val="10"/>
        <rFont val="WenQuanYi Zen Hei"/>
        <family val="2"/>
      </rPr>
      <t xml:space="preserve">長效續航｜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盒 </t>
    </r>
    <r>
      <rPr>
        <sz val="10"/>
        <rFont val="Arial"/>
        <family val="0"/>
        <charset val="1"/>
      </rPr>
      <t xml:space="preserve">(LBM004)</t>
    </r>
  </si>
  <si>
    <r>
      <rPr>
        <sz val="10"/>
        <rFont val="WenQuanYi Zen Hei"/>
        <family val="2"/>
      </rPr>
      <t xml:space="preserve">零咖啡因組｜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盒</t>
    </r>
  </si>
  <si>
    <r>
      <rPr>
        <sz val="10"/>
        <rFont val="WenQuanYi Zen Hei"/>
        <family val="2"/>
      </rPr>
      <t xml:space="preserve">高纖飽足｜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盒 </t>
    </r>
    <r>
      <rPr>
        <sz val="10"/>
        <rFont val="Arial"/>
        <family val="0"/>
        <charset val="1"/>
      </rPr>
      <t xml:space="preserve">(LBM007)</t>
    </r>
  </si>
  <si>
    <r>
      <rPr>
        <sz val="10"/>
        <rFont val="WenQuanYi Zen Hei"/>
        <family val="2"/>
      </rPr>
      <t xml:space="preserve">低碳控醣｜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盒 </t>
    </r>
    <r>
      <rPr>
        <sz val="10"/>
        <rFont val="Arial"/>
        <family val="0"/>
        <charset val="1"/>
      </rPr>
      <t xml:space="preserve">(LBM002)</t>
    </r>
  </si>
  <si>
    <r>
      <rPr>
        <sz val="10"/>
        <rFont val="WenQuanYi Zen Hei"/>
        <family val="2"/>
      </rPr>
      <t xml:space="preserve">爸爸的力氣組｜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盒 </t>
    </r>
    <r>
      <rPr>
        <sz val="10"/>
        <rFont val="Arial"/>
        <family val="0"/>
        <charset val="1"/>
      </rPr>
      <t xml:space="preserve">(MIX4BAG)</t>
    </r>
  </si>
  <si>
    <r>
      <rPr>
        <sz val="10"/>
        <rFont val="WenQuanYi Zen Hei"/>
        <family val="2"/>
      </rPr>
      <t xml:space="preserve">品牌紙袋 </t>
    </r>
    <r>
      <rPr>
        <sz val="10"/>
        <rFont val="Arial"/>
        <family val="0"/>
        <charset val="1"/>
      </rPr>
      <t xml:space="preserve">× 2</t>
    </r>
  </si>
  <si>
    <r>
      <rPr>
        <sz val="10"/>
        <rFont val="WenQuanYi Zen Hei"/>
        <family val="2"/>
      </rPr>
      <t xml:space="preserve">早安晚安組｜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盒 </t>
    </r>
    <r>
      <rPr>
        <sz val="10"/>
        <rFont val="Arial"/>
        <family val="0"/>
        <charset val="1"/>
      </rPr>
      <t xml:space="preserve">(GB0001)</t>
    </r>
  </si>
  <si>
    <r>
      <rPr>
        <sz val="10"/>
        <rFont val="WenQuanYi Zen Hei"/>
        <family val="2"/>
      </rPr>
      <t xml:space="preserve">日夜補給組｜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盒 </t>
    </r>
    <r>
      <rPr>
        <sz val="10"/>
        <rFont val="Arial"/>
        <family val="0"/>
        <charset val="1"/>
      </rPr>
      <t xml:space="preserve">(BD0001)</t>
    </r>
  </si>
  <si>
    <r>
      <rPr>
        <sz val="10"/>
        <rFont val="WenQuanYi Zen Hei"/>
        <family val="2"/>
      </rPr>
      <t xml:space="preserve">早晚常備組｜</t>
    </r>
    <r>
      <rPr>
        <sz val="10"/>
        <rFont val="Arial"/>
        <family val="0"/>
        <charset val="1"/>
      </rPr>
      <t xml:space="preserve">500g</t>
    </r>
    <r>
      <rPr>
        <sz val="10"/>
        <rFont val="WenQuanYi Zen Hei"/>
        <family val="2"/>
      </rPr>
      <t xml:space="preserve">袋裝</t>
    </r>
    <r>
      <rPr>
        <sz val="10"/>
        <rFont val="Arial"/>
        <family val="0"/>
        <charset val="1"/>
      </rPr>
      <t xml:space="preserve">-2</t>
    </r>
    <r>
      <rPr>
        <sz val="10"/>
        <rFont val="WenQuanYi Zen Hei"/>
        <family val="2"/>
      </rPr>
      <t xml:space="preserve">入組 </t>
    </r>
    <r>
      <rPr>
        <sz val="10"/>
        <rFont val="Arial"/>
        <family val="0"/>
        <charset val="1"/>
      </rPr>
      <t xml:space="preserve">(LBS001)</t>
    </r>
  </si>
  <si>
    <r>
      <rPr>
        <sz val="10"/>
        <rFont val="Arial"/>
        <family val="0"/>
        <charset val="1"/>
      </rPr>
      <t xml:space="preserve">500g </t>
    </r>
    <r>
      <rPr>
        <sz val="10"/>
        <rFont val="WenQuanYi Zen Hei"/>
        <family val="2"/>
      </rPr>
      <t xml:space="preserve">袋裝 </t>
    </r>
    <r>
      <rPr>
        <sz val="10"/>
        <rFont val="Arial"/>
        <family val="0"/>
        <charset val="1"/>
      </rPr>
      <t xml:space="preserve">× 10</t>
    </r>
    <r>
      <rPr>
        <sz val="10"/>
        <rFont val="WenQuanYi Zen Hei"/>
        <family val="2"/>
      </rPr>
      <t xml:space="preserve">（黑芝麻 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、拿鐵 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</si>
  <si>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〔</t>
    </r>
    <r>
      <rPr>
        <sz val="10"/>
        <rFont val="Arial"/>
        <family val="0"/>
        <charset val="1"/>
      </rPr>
      <t xml:space="preserve">App</t>
    </r>
    <r>
      <rPr>
        <sz val="10"/>
        <rFont val="WenQuanYi Zen Hei"/>
        <family val="2"/>
      </rPr>
      <t xml:space="preserve">〕新手入門組</t>
    </r>
    <r>
      <rPr>
        <sz val="10"/>
        <rFont val="Arial"/>
        <family val="0"/>
        <charset val="1"/>
      </rPr>
      <t xml:space="preserve">-12</t>
    </r>
    <r>
      <rPr>
        <sz val="10"/>
        <rFont val="WenQuanYi Zen Hei"/>
        <family val="2"/>
      </rPr>
      <t xml:space="preserve">入組</t>
    </r>
    <r>
      <rPr>
        <sz val="10"/>
        <rFont val="Arial"/>
        <family val="0"/>
        <charset val="1"/>
      </rPr>
      <t xml:space="preserve">+</t>
    </r>
    <r>
      <rPr>
        <sz val="10"/>
        <rFont val="WenQuanYi Zen Hei"/>
        <family val="2"/>
      </rPr>
      <t xml:space="preserve">搖搖杯</t>
    </r>
  </si>
  <si>
    <r>
      <rPr>
        <sz val="10"/>
        <rFont val="WenQuanYi Zen Hei"/>
        <family val="2"/>
      </rPr>
      <t xml:space="preserve">經典搖搖杯 </t>
    </r>
    <r>
      <rPr>
        <sz val="10"/>
        <rFont val="Arial"/>
        <family val="0"/>
        <charset val="1"/>
      </rPr>
      <t xml:space="preserve">× 9</t>
    </r>
  </si>
  <si>
    <r>
      <rPr>
        <sz val="10"/>
        <rFont val="WenQuanYi Zen Hei"/>
        <family val="2"/>
      </rPr>
      <t xml:space="preserve">〔</t>
    </r>
    <r>
      <rPr>
        <sz val="10"/>
        <rFont val="Arial"/>
        <family val="0"/>
        <charset val="1"/>
      </rPr>
      <t xml:space="preserve">App</t>
    </r>
    <r>
      <rPr>
        <sz val="10"/>
        <rFont val="WenQuanYi Zen Hei"/>
        <family val="2"/>
      </rPr>
      <t xml:space="preserve">〕全素豌豆蛋白飲</t>
    </r>
    <r>
      <rPr>
        <sz val="10"/>
        <rFont val="Arial"/>
        <family val="0"/>
        <charset val="1"/>
      </rPr>
      <t xml:space="preserve">-</t>
    </r>
    <r>
      <rPr>
        <sz val="10"/>
        <rFont val="WenQuanYi Zen Hei"/>
        <family val="2"/>
      </rPr>
      <t xml:space="preserve">任選口味 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盒</t>
    </r>
  </si>
  <si>
    <r>
      <rPr>
        <sz val="10"/>
        <rFont val="WenQuanYi Zen Hei"/>
        <family val="2"/>
      </rPr>
      <t xml:space="preserve">〔</t>
    </r>
    <r>
      <rPr>
        <sz val="10"/>
        <rFont val="Arial"/>
        <family val="0"/>
        <charset val="1"/>
      </rPr>
      <t xml:space="preserve">App</t>
    </r>
    <r>
      <rPr>
        <sz val="10"/>
        <rFont val="WenQuanYi Zen Hei"/>
        <family val="2"/>
      </rPr>
      <t xml:space="preserve">〕隨手包</t>
    </r>
    <r>
      <rPr>
        <sz val="10"/>
        <rFont val="Arial"/>
        <family val="0"/>
        <charset val="1"/>
      </rPr>
      <t xml:space="preserve">-</t>
    </r>
    <r>
      <rPr>
        <sz val="10"/>
        <rFont val="WenQuanYi Zen Hei"/>
        <family val="2"/>
      </rPr>
      <t xml:space="preserve">任選口味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入</t>
    </r>
  </si>
  <si>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入隨手包 </t>
    </r>
    <r>
      <rPr>
        <sz val="10"/>
        <rFont val="Arial"/>
        <family val="0"/>
        <charset val="1"/>
      </rPr>
      <t xml:space="preserve">× 180</t>
    </r>
    <r>
      <rPr>
        <sz val="10"/>
        <rFont val="WenQuanYi Zen Hei"/>
        <family val="2"/>
      </rPr>
      <t xml:space="preserve">（見下方 </t>
    </r>
    <r>
      <rPr>
        <sz val="10"/>
        <rFont val="Arial"/>
        <family val="0"/>
        <charset val="1"/>
      </rPr>
      <t xml:space="preserve">B </t>
    </r>
    <r>
      <rPr>
        <sz val="10"/>
        <rFont val="WenQuanYi Zen Hei"/>
        <family val="2"/>
      </rPr>
      <t xml:space="preserve">區）</t>
    </r>
  </si>
  <si>
    <r>
      <rPr>
        <sz val="10"/>
        <rFont val="WenQuanYi Zen Hei"/>
        <family val="2"/>
      </rPr>
      <t xml:space="preserve">〔</t>
    </r>
    <r>
      <rPr>
        <sz val="10"/>
        <rFont val="Arial"/>
        <family val="0"/>
        <charset val="1"/>
      </rPr>
      <t xml:space="preserve">App</t>
    </r>
    <r>
      <rPr>
        <sz val="10"/>
        <rFont val="WenQuanYi Zen Hei"/>
        <family val="2"/>
      </rPr>
      <t xml:space="preserve">〕入門全配組</t>
    </r>
    <r>
      <rPr>
        <sz val="10"/>
        <rFont val="Arial"/>
        <family val="0"/>
        <charset val="1"/>
      </rPr>
      <t xml:space="preserve">-500g+</t>
    </r>
    <r>
      <rPr>
        <sz val="10"/>
        <rFont val="WenQuanYi Zen Hei"/>
        <family val="2"/>
      </rPr>
      <t xml:space="preserve">隨手包</t>
    </r>
    <r>
      <rPr>
        <sz val="10"/>
        <rFont val="Arial"/>
        <family val="0"/>
        <charset val="1"/>
      </rPr>
      <t xml:space="preserve">+</t>
    </r>
    <r>
      <rPr>
        <sz val="10"/>
        <rFont val="WenQuanYi Zen Hei"/>
        <family val="2"/>
      </rPr>
      <t xml:space="preserve">搖搖杯</t>
    </r>
  </si>
  <si>
    <r>
      <rPr>
        <sz val="10"/>
        <rFont val="Arial"/>
        <family val="0"/>
        <charset val="1"/>
      </rPr>
      <t xml:space="preserve">500g </t>
    </r>
    <r>
      <rPr>
        <sz val="10"/>
        <rFont val="WenQuanYi Zen Hei"/>
        <family val="2"/>
      </rPr>
      <t xml:space="preserve">袋裝 </t>
    </r>
    <r>
      <rPr>
        <sz val="10"/>
        <rFont val="Arial"/>
        <family val="0"/>
        <charset val="1"/>
      </rPr>
      <t xml:space="preserve">× 1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入 </t>
    </r>
    <r>
      <rPr>
        <sz val="10"/>
        <rFont val="Arial"/>
        <family val="0"/>
        <charset val="1"/>
      </rPr>
      <t xml:space="preserve">× 1</t>
    </r>
    <r>
      <rPr>
        <sz val="10"/>
        <rFont val="WenQuanYi Zen Hei"/>
        <family val="2"/>
      </rPr>
      <t xml:space="preserve">、搖搖杯 </t>
    </r>
    <r>
      <rPr>
        <sz val="10"/>
        <rFont val="Arial"/>
        <family val="0"/>
        <charset val="1"/>
      </rPr>
      <t xml:space="preserve">× 1</t>
    </r>
  </si>
  <si>
    <t xml:space="preserve">合計</t>
  </si>
  <si>
    <r>
      <rPr>
        <b val="true"/>
        <sz val="11"/>
        <color rgb="FFFFFFFF"/>
        <rFont val="Arial"/>
        <family val="0"/>
        <charset val="1"/>
      </rPr>
      <t xml:space="preserve">B. </t>
    </r>
    <r>
      <rPr>
        <b val="true"/>
        <sz val="11"/>
        <color rgb="FFFFFFFF"/>
        <rFont val="WenQuanYi Zen Hei"/>
        <family val="2"/>
      </rPr>
      <t xml:space="preserve">依口味彙整　－　組合品項共帶出多少盒（</t>
    </r>
    <r>
      <rPr>
        <b val="true"/>
        <sz val="11"/>
        <color rgb="FFFFFFFF"/>
        <rFont val="Arial"/>
        <family val="0"/>
        <charset val="1"/>
      </rPr>
      <t xml:space="preserve">12</t>
    </r>
    <r>
      <rPr>
        <b val="true"/>
        <sz val="11"/>
        <color rgb="FFFFFFFF"/>
        <rFont val="WenQuanYi Zen Hei"/>
        <family val="2"/>
      </rPr>
      <t xml:space="preserve">入）與多少散裝 </t>
    </r>
    <r>
      <rPr>
        <b val="true"/>
        <sz val="11"/>
        <color rgb="FFFFFFFF"/>
        <rFont val="Arial"/>
        <family val="0"/>
        <charset val="1"/>
      </rPr>
      <t xml:space="preserve">1</t>
    </r>
    <r>
      <rPr>
        <b val="true"/>
        <sz val="11"/>
        <color rgb="FFFFFFFF"/>
        <rFont val="WenQuanYi Zen Hei"/>
        <family val="2"/>
      </rPr>
      <t xml:space="preserve">入</t>
    </r>
  </si>
  <si>
    <t xml:space="preserve">口味</t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</si>
  <si>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入 </t>
    </r>
    <r>
      <rPr>
        <b val="true"/>
        <sz val="10"/>
        <rFont val="Arial"/>
        <family val="0"/>
        <charset val="1"/>
      </rPr>
      <t xml:space="preserve">SKU</t>
    </r>
  </si>
  <si>
    <r>
      <rPr>
        <b val="true"/>
        <sz val="10"/>
        <rFont val="Arial"/>
        <family val="0"/>
        <charset val="1"/>
      </rPr>
      <t xml:space="preserve">12</t>
    </r>
    <r>
      <rPr>
        <b val="true"/>
        <sz val="10"/>
        <rFont val="WenQuanYi Zen Hei"/>
        <family val="2"/>
      </rPr>
      <t xml:space="preserve">入組 </t>
    </r>
    <r>
      <rPr>
        <b val="true"/>
        <sz val="10"/>
        <rFont val="Arial"/>
        <family val="0"/>
        <charset val="1"/>
      </rPr>
      <t xml:space="preserve">SKU</t>
    </r>
  </si>
  <si>
    <r>
      <rPr>
        <b val="true"/>
        <sz val="10"/>
        <rFont val="WenQuanYi Zen Hei"/>
        <family val="2"/>
      </rPr>
      <t xml:space="preserve">盒數 </t>
    </r>
    <r>
      <rPr>
        <b val="true"/>
        <sz val="10"/>
        <rFont val="Arial"/>
        <family val="0"/>
        <charset val="1"/>
      </rPr>
      <t xml:space="preserve">(12</t>
    </r>
    <r>
      <rPr>
        <b val="true"/>
        <sz val="10"/>
        <rFont val="WenQuanYi Zen Hei"/>
        <family val="2"/>
      </rPr>
      <t xml:space="preserve">入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</si>
  <si>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散裝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入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包</t>
    </r>
    <r>
      <rPr>
        <b val="true"/>
        <sz val="10"/>
        <rFont val="Arial"/>
        <family val="0"/>
        <charset val="1"/>
      </rPr>
      <t xml:space="preserve">)</t>
    </r>
  </si>
  <si>
    <t xml:space="preserve">合計換算入數</t>
  </si>
  <si>
    <t xml:space="preserve">開心果可可</t>
  </si>
  <si>
    <t xml:space="preserve">VG00P1</t>
  </si>
  <si>
    <t xml:space="preserve">VG00P2</t>
  </si>
  <si>
    <t xml:space="preserve">綜合穀物</t>
  </si>
  <si>
    <t xml:space="preserve">VG00G1</t>
  </si>
  <si>
    <t xml:space="preserve">VG00G2</t>
  </si>
  <si>
    <t xml:space="preserve">拿鐵風味</t>
  </si>
  <si>
    <t xml:space="preserve">VG00L1</t>
  </si>
  <si>
    <t xml:space="preserve">VG00L2</t>
  </si>
  <si>
    <t xml:space="preserve">靜岡抹茶燕麥風味</t>
  </si>
  <si>
    <t xml:space="preserve">VG00M1</t>
  </si>
  <si>
    <t xml:space="preserve">VG00M2</t>
  </si>
  <si>
    <t xml:space="preserve">植感奶霧紅茶</t>
  </si>
  <si>
    <t xml:space="preserve">VG00T1</t>
  </si>
  <si>
    <t xml:space="preserve">VG00T2</t>
  </si>
  <si>
    <t xml:space="preserve">黑芝麻牛奶風味</t>
  </si>
  <si>
    <t xml:space="preserve">VG00S1</t>
  </si>
  <si>
    <t xml:space="preserve">VG00S2</t>
  </si>
  <si>
    <t xml:space="preserve">香蕉牛奶風味</t>
  </si>
  <si>
    <t xml:space="preserve">VG00B1</t>
  </si>
  <si>
    <t xml:space="preserve">VG00B2</t>
  </si>
  <si>
    <t xml:space="preserve">植感醇黑可可</t>
  </si>
  <si>
    <t xml:space="preserve">VG00C1</t>
  </si>
  <si>
    <t xml:space="preserve">VG00C2</t>
  </si>
  <si>
    <t xml:space="preserve">未指定（晚安舒緩未記錄口味）</t>
  </si>
  <si>
    <t xml:space="preserve">—</t>
  </si>
  <si>
    <r>
      <rPr>
        <b val="true"/>
        <sz val="11"/>
        <color rgb="FFFFFFFF"/>
        <rFont val="Arial"/>
        <family val="0"/>
        <charset val="1"/>
      </rPr>
      <t xml:space="preserve">C. </t>
    </r>
    <r>
      <rPr>
        <b val="true"/>
        <sz val="11"/>
        <color rgb="FFFFFFFF"/>
        <rFont val="WenQuanYi Zen Hei"/>
        <family val="2"/>
      </rPr>
      <t xml:space="preserve">非 </t>
    </r>
    <r>
      <rPr>
        <b val="true"/>
        <sz val="11"/>
        <color rgb="FFFFFFFF"/>
        <rFont val="Arial"/>
        <family val="0"/>
        <charset val="1"/>
      </rPr>
      <t xml:space="preserve">12</t>
    </r>
    <r>
      <rPr>
        <b val="true"/>
        <sz val="11"/>
        <color rgb="FFFFFFFF"/>
        <rFont val="WenQuanYi Zen Hei"/>
        <family val="2"/>
      </rPr>
      <t xml:space="preserve">入盒裝之組合內容物</t>
    </r>
  </si>
  <si>
    <t xml:space="preserve">項目</t>
  </si>
  <si>
    <t xml:space="preserve">數量</t>
  </si>
  <si>
    <t xml:space="preserve">單位</t>
  </si>
  <si>
    <t xml:space="preserve">來源組合</t>
  </si>
  <si>
    <r>
      <rPr>
        <sz val="10"/>
        <rFont val="Arial"/>
        <family val="0"/>
        <charset val="1"/>
      </rPr>
      <t xml:space="preserve">500g</t>
    </r>
    <r>
      <rPr>
        <sz val="10"/>
        <rFont val="WenQuanYi Zen Hei"/>
        <family val="2"/>
      </rPr>
      <t xml:space="preserve">袋裝｜黑芝麻牛奶風味</t>
    </r>
  </si>
  <si>
    <t xml:space="preserve">VG00S3</t>
  </si>
  <si>
    <t xml:space="preserve">袋</t>
  </si>
  <si>
    <r>
      <rPr>
        <sz val="10"/>
        <rFont val="WenQuanYi Zen Hei"/>
        <family val="2"/>
      </rPr>
      <t xml:space="preserve">早晚常備組 </t>
    </r>
    <r>
      <rPr>
        <sz val="10"/>
        <rFont val="Arial"/>
        <family val="0"/>
        <charset val="1"/>
      </rPr>
      <t xml:space="preserve">×5</t>
    </r>
    <r>
      <rPr>
        <sz val="10"/>
        <rFont val="WenQuanYi Zen Hei"/>
        <family val="2"/>
      </rPr>
      <t xml:space="preserve">、入門全配組 </t>
    </r>
    <r>
      <rPr>
        <sz val="10"/>
        <rFont val="Arial"/>
        <family val="0"/>
        <charset val="1"/>
      </rPr>
      <t xml:space="preserve">×1</t>
    </r>
  </si>
  <si>
    <r>
      <rPr>
        <sz val="10"/>
        <rFont val="Arial"/>
        <family val="0"/>
        <charset val="1"/>
      </rPr>
      <t xml:space="preserve">500g</t>
    </r>
    <r>
      <rPr>
        <sz val="10"/>
        <rFont val="WenQuanYi Zen Hei"/>
        <family val="2"/>
      </rPr>
      <t xml:space="preserve">袋裝｜拿鐵風味</t>
    </r>
  </si>
  <si>
    <t xml:space="preserve">VG00L3</t>
  </si>
  <si>
    <r>
      <rPr>
        <sz val="10"/>
        <rFont val="WenQuanYi Zen Hei"/>
        <family val="2"/>
      </rPr>
      <t xml:space="preserve">早晚常備組 </t>
    </r>
    <r>
      <rPr>
        <sz val="10"/>
        <rFont val="Arial"/>
        <family val="0"/>
        <charset val="1"/>
      </rPr>
      <t xml:space="preserve">×5</t>
    </r>
  </si>
  <si>
    <t xml:space="preserve">經典搖搖杯</t>
  </si>
  <si>
    <t xml:space="preserve">P00xxS</t>
  </si>
  <si>
    <t xml:space="preserve">個</t>
  </si>
  <si>
    <r>
      <rPr>
        <sz val="10"/>
        <rFont val="WenQuanYi Zen Hei"/>
        <family val="2"/>
      </rPr>
      <t xml:space="preserve">新手入門組 </t>
    </r>
    <r>
      <rPr>
        <sz val="10"/>
        <rFont val="Arial"/>
        <family val="0"/>
        <charset val="1"/>
      </rPr>
      <t xml:space="preserve">×9</t>
    </r>
    <r>
      <rPr>
        <sz val="10"/>
        <rFont val="WenQuanYi Zen Hei"/>
        <family val="2"/>
      </rPr>
      <t xml:space="preserve">、入門全配組 </t>
    </r>
    <r>
      <rPr>
        <sz val="10"/>
        <rFont val="Arial"/>
        <family val="0"/>
        <charset val="1"/>
      </rPr>
      <t xml:space="preserve">×1</t>
    </r>
  </si>
  <si>
    <t xml:space="preserve">品牌紙袋</t>
  </si>
  <si>
    <r>
      <rPr>
        <sz val="10"/>
        <rFont val="WenQuanYi Zen Hei"/>
        <family val="2"/>
      </rPr>
      <t xml:space="preserve">爸爸的力氣組 </t>
    </r>
    <r>
      <rPr>
        <sz val="10"/>
        <rFont val="Arial"/>
        <family val="0"/>
        <charset val="1"/>
      </rPr>
      <t xml:space="preserve">×2</t>
    </r>
  </si>
  <si>
    <r>
      <rPr>
        <sz val="9"/>
        <color rgb="FF595959"/>
        <rFont val="Arial"/>
        <family val="0"/>
        <charset val="1"/>
      </rPr>
      <t xml:space="preserve">1. </t>
    </r>
    <r>
      <rPr>
        <sz val="9"/>
        <color rgb="FF595959"/>
        <rFont val="WenQuanYi Zen Hei"/>
        <family val="2"/>
      </rPr>
      <t xml:space="preserve">換算基準：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盒（</t>
    </r>
    <r>
      <rPr>
        <sz val="9"/>
        <color rgb="FF595959"/>
        <rFont val="Arial"/>
        <family val="0"/>
        <charset val="1"/>
      </rPr>
      <t xml:space="preserve">12</t>
    </r>
    <r>
      <rPr>
        <sz val="9"/>
        <color rgb="FF595959"/>
        <rFont val="WenQuanYi Zen Hei"/>
        <family val="2"/>
      </rPr>
      <t xml:space="preserve">入組）</t>
    </r>
    <r>
      <rPr>
        <sz val="9"/>
        <color rgb="FF595959"/>
        <rFont val="Arial"/>
        <family val="0"/>
        <charset val="1"/>
      </rPr>
      <t xml:space="preserve">= 12 </t>
    </r>
    <r>
      <rPr>
        <sz val="9"/>
        <color rgb="FF595959"/>
        <rFont val="WenQuanYi Zen Hei"/>
        <family val="2"/>
      </rPr>
      <t xml:space="preserve">入。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WenQuanYi Zen Hei"/>
        <family val="2"/>
      </rPr>
      <t xml:space="preserve">區「合計換算入數」</t>
    </r>
    <r>
      <rPr>
        <sz val="9"/>
        <color rgb="FF595959"/>
        <rFont val="Arial"/>
        <family val="0"/>
        <charset val="1"/>
      </rPr>
      <t xml:space="preserve">= </t>
    </r>
    <r>
      <rPr>
        <sz val="9"/>
        <color rgb="FF595959"/>
        <rFont val="WenQuanYi Zen Hei"/>
        <family val="2"/>
      </rPr>
      <t xml:space="preserve">盒數 </t>
    </r>
    <r>
      <rPr>
        <sz val="9"/>
        <color rgb="FF595959"/>
        <rFont val="Arial"/>
        <family val="0"/>
        <charset val="1"/>
      </rPr>
      <t xml:space="preserve">× 12 + </t>
    </r>
    <r>
      <rPr>
        <sz val="9"/>
        <color rgb="FF595959"/>
        <rFont val="WenQuanYi Zen Hei"/>
        <family val="2"/>
      </rPr>
      <t xml:space="preserve">散裝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入。</t>
    </r>
  </si>
  <si>
    <r>
      <rPr>
        <sz val="9"/>
        <color rgb="FF595959"/>
        <rFont val="Arial"/>
        <family val="0"/>
        <charset val="1"/>
      </rPr>
      <t xml:space="preserve">2. A </t>
    </r>
    <r>
      <rPr>
        <sz val="9"/>
        <color rgb="FF595959"/>
        <rFont val="WenQuanYi Zen Hei"/>
        <family val="2"/>
      </rPr>
      <t xml:space="preserve">區「每組盒數」為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的組合，代表該組合不含 </t>
    </r>
    <r>
      <rPr>
        <sz val="9"/>
        <color rgb="FF595959"/>
        <rFont val="Arial"/>
        <family val="0"/>
        <charset val="1"/>
      </rPr>
      <t xml:space="preserve">12</t>
    </r>
    <r>
      <rPr>
        <sz val="9"/>
        <color rgb="FF595959"/>
        <rFont val="WenQuanYi Zen Hei"/>
        <family val="2"/>
      </rPr>
      <t xml:space="preserve">入盒裝（內容為 </t>
    </r>
    <r>
      <rPr>
        <sz val="9"/>
        <color rgb="FF595959"/>
        <rFont val="Arial"/>
        <family val="0"/>
        <charset val="1"/>
      </rPr>
      <t xml:space="preserve">500g </t>
    </r>
    <r>
      <rPr>
        <sz val="9"/>
        <color rgb="FF595959"/>
        <rFont val="WenQuanYi Zen Hei"/>
        <family val="2"/>
      </rPr>
      <t xml:space="preserve">袋裝或散裝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入），數量列於「非盒裝內容物」與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WenQuanYi Zen Hei"/>
        <family val="2"/>
      </rPr>
      <t xml:space="preserve">區。</t>
    </r>
  </si>
  <si>
    <r>
      <rPr>
        <sz val="9"/>
        <color rgb="FF595959"/>
        <rFont val="Arial"/>
        <family val="0"/>
        <charset val="1"/>
      </rPr>
      <t xml:space="preserve">3. B </t>
    </r>
    <r>
      <rPr>
        <sz val="9"/>
        <color rgb="FF595959"/>
        <rFont val="WenQuanYi Zen Hei"/>
        <family val="2"/>
      </rPr>
      <t xml:space="preserve">區「散裝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入」全數來自 </t>
    </r>
    <r>
      <rPr>
        <sz val="9"/>
        <color rgb="FF595959"/>
        <rFont val="Arial"/>
        <family val="0"/>
        <charset val="1"/>
      </rPr>
      <t xml:space="preserve">App </t>
    </r>
    <r>
      <rPr>
        <sz val="9"/>
        <color rgb="FF595959"/>
        <rFont val="WenQuanYi Zen Hei"/>
        <family val="2"/>
      </rPr>
      <t xml:space="preserve">組合包「隨手包</t>
    </r>
    <r>
      <rPr>
        <sz val="9"/>
        <color rgb="FF595959"/>
        <rFont val="Arial"/>
        <family val="0"/>
        <charset val="1"/>
      </rPr>
      <t xml:space="preserve">-</t>
    </r>
    <r>
      <rPr>
        <sz val="9"/>
        <color rgb="FF595959"/>
        <rFont val="WenQuanYi Zen Hei"/>
        <family val="2"/>
      </rPr>
      <t xml:space="preserve">任選口味</t>
    </r>
    <r>
      <rPr>
        <sz val="9"/>
        <color rgb="FF595959"/>
        <rFont val="Arial"/>
        <family val="0"/>
        <charset val="1"/>
      </rPr>
      <t xml:space="preserve">12</t>
    </r>
    <r>
      <rPr>
        <sz val="9"/>
        <color rgb="FF595959"/>
        <rFont val="WenQuanYi Zen Hei"/>
        <family val="2"/>
      </rPr>
      <t xml:space="preserve">入」（</t>
    </r>
    <r>
      <rPr>
        <sz val="9"/>
        <color rgb="FF595959"/>
        <rFont val="Arial"/>
        <family val="0"/>
        <charset val="1"/>
      </rPr>
      <t xml:space="preserve">180 </t>
    </r>
    <r>
      <rPr>
        <sz val="9"/>
        <color rgb="FF595959"/>
        <rFont val="WenQuanYi Zen Hei"/>
        <family val="2"/>
      </rPr>
      <t xml:space="preserve">包）與「入門全配組」（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包）；商品型組合皆為整盒出貨，不含散裝。</t>
    </r>
  </si>
  <si>
    <r>
      <rPr>
        <sz val="9"/>
        <color rgb="FF595959"/>
        <rFont val="Arial"/>
        <family val="0"/>
        <charset val="1"/>
      </rPr>
      <t xml:space="preserve">4. </t>
    </r>
    <r>
      <rPr>
        <sz val="9"/>
        <color rgb="FF595959"/>
        <rFont val="WenQuanYi Zen Hei"/>
        <family val="2"/>
      </rPr>
      <t xml:space="preserve">「未指定」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WenQuanYi Zen Hei"/>
        <family val="2"/>
      </rPr>
      <t xml:space="preserve">盒來自晚安舒緩（任選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WenQuanYi Zen Hei"/>
        <family val="2"/>
      </rPr>
      <t xml:space="preserve">盒）中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WenQuanYi Zen Hei"/>
        <family val="2"/>
      </rPr>
      <t xml:space="preserve">筆未寫入 </t>
    </r>
    <r>
      <rPr>
        <sz val="9"/>
        <color rgb="FF595959"/>
        <rFont val="Arial"/>
        <family val="0"/>
        <charset val="1"/>
      </rPr>
      <t xml:space="preserve">Select Your Flavor </t>
    </r>
    <r>
      <rPr>
        <sz val="9"/>
        <color rgb="FF595959"/>
        <rFont val="WenQuanYi Zen Hei"/>
        <family val="2"/>
      </rPr>
      <t xml:space="preserve">屬性的訂單（</t>
    </r>
    <r>
      <rPr>
        <sz val="9"/>
        <color rgb="FF595959"/>
        <rFont val="Arial"/>
        <family val="0"/>
        <charset val="1"/>
      </rPr>
      <t xml:space="preserve">#2528 </t>
    </r>
    <r>
      <rPr>
        <sz val="9"/>
        <color rgb="FF595959"/>
        <rFont val="WenQuanYi Zen Hei"/>
        <family val="2"/>
      </rPr>
      <t xml:space="preserve">數量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#2530 </t>
    </r>
    <r>
      <rPr>
        <sz val="9"/>
        <color rgb="FF595959"/>
        <rFont val="WenQuanYi Zen Hei"/>
        <family val="2"/>
      </rPr>
      <t xml:space="preserve">數量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）；其餘 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WenQuanYi Zen Hei"/>
        <family val="2"/>
      </rPr>
      <t xml:space="preserve">組已記錄口味：開心果</t>
    </r>
    <r>
      <rPr>
        <sz val="9"/>
        <color rgb="FF595959"/>
        <rFont val="Arial"/>
        <family val="0"/>
        <charset val="1"/>
      </rPr>
      <t xml:space="preserve">+</t>
    </r>
    <r>
      <rPr>
        <sz val="9"/>
        <color rgb="FF595959"/>
        <rFont val="WenQuanYi Zen Hei"/>
        <family val="2"/>
      </rPr>
      <t xml:space="preserve">黑芝麻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WenQuanYi Zen Hei"/>
        <family val="2"/>
      </rPr>
      <t xml:space="preserve">組、香蕉</t>
    </r>
    <r>
      <rPr>
        <sz val="9"/>
        <color rgb="FF595959"/>
        <rFont val="Arial"/>
        <family val="0"/>
        <charset val="1"/>
      </rPr>
      <t xml:space="preserve">+</t>
    </r>
    <r>
      <rPr>
        <sz val="9"/>
        <color rgb="FF595959"/>
        <rFont val="WenQuanYi Zen Hei"/>
        <family val="2"/>
      </rPr>
      <t xml:space="preserve">開心果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WenQuanYi Zen Hei"/>
        <family val="2"/>
      </rPr>
      <t xml:space="preserve">組。若要精準分攤，需回頭比對這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WenQuanYi Zen Hei"/>
        <family val="2"/>
      </rPr>
      <t xml:space="preserve">組的出貨明細。</t>
    </r>
  </si>
  <si>
    <r>
      <rPr>
        <sz val="9"/>
        <color rgb="FF595959"/>
        <rFont val="Arial"/>
        <family val="0"/>
        <charset val="1"/>
      </rPr>
      <t xml:space="preserve">5. </t>
    </r>
    <r>
      <rPr>
        <sz val="9"/>
        <color rgb="FF595959"/>
        <rFont val="WenQuanYi Zen Hei"/>
        <family val="2"/>
      </rPr>
      <t xml:space="preserve">本表僅涵蓋「組合品項」帶出的數量，不含單獨購買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入 </t>
    </r>
    <r>
      <rPr>
        <sz val="9"/>
        <color rgb="FF595959"/>
        <rFont val="Arial"/>
        <family val="0"/>
        <charset val="1"/>
      </rPr>
      <t xml:space="preserve">/ 12</t>
    </r>
    <r>
      <rPr>
        <sz val="9"/>
        <color rgb="FF595959"/>
        <rFont val="WenQuanYi Zen Hei"/>
        <family val="2"/>
      </rPr>
      <t xml:space="preserve">入組的銷量。</t>
    </r>
  </si>
  <si>
    <r>
      <rPr>
        <sz val="9"/>
        <color rgb="FF595959"/>
        <rFont val="Arial"/>
        <family val="0"/>
        <charset val="1"/>
      </rPr>
      <t xml:space="preserve">6. </t>
    </r>
    <r>
      <rPr>
        <sz val="9"/>
        <color rgb="FF595959"/>
        <rFont val="WenQuanYi Zen Hei"/>
        <family val="2"/>
      </rPr>
      <t xml:space="preserve">香蕉牛奶 </t>
    </r>
    <r>
      <rPr>
        <sz val="9"/>
        <color rgb="FF595959"/>
        <rFont val="Arial"/>
        <family val="0"/>
        <charset val="1"/>
      </rPr>
      <t xml:space="preserve">12</t>
    </r>
    <r>
      <rPr>
        <sz val="9"/>
        <color rgb="FF595959"/>
        <rFont val="WenQuanYi Zen Hei"/>
        <family val="2"/>
      </rPr>
      <t xml:space="preserve">入組於 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WenQuanYi Zen Hei"/>
        <family val="2"/>
      </rPr>
      <t xml:space="preserve">月訂單中同時出現 </t>
    </r>
    <r>
      <rPr>
        <sz val="9"/>
        <color rgb="FF595959"/>
        <rFont val="Arial"/>
        <family val="0"/>
        <charset val="1"/>
      </rPr>
      <t xml:space="preserve">VG00B2 </t>
    </r>
    <r>
      <rPr>
        <sz val="9"/>
        <color rgb="FF595959"/>
        <rFont val="WenQuanYi Zen Hei"/>
        <family val="2"/>
      </rPr>
      <t xml:space="preserve">與舊碼 </t>
    </r>
    <r>
      <rPr>
        <sz val="9"/>
        <color rgb="FF595959"/>
        <rFont val="Arial"/>
        <family val="0"/>
        <charset val="1"/>
      </rPr>
      <t xml:space="preserve">BA0001 </t>
    </r>
    <r>
      <rPr>
        <sz val="9"/>
        <color rgb="FF595959"/>
        <rFont val="WenQuanYi Zen Hei"/>
        <family val="2"/>
      </rPr>
      <t xml:space="preserve">兩種 </t>
    </r>
    <r>
      <rPr>
        <sz val="9"/>
        <color rgb="FF595959"/>
        <rFont val="Arial"/>
        <family val="0"/>
        <charset val="1"/>
      </rPr>
      <t xml:space="preserve">SKU</t>
    </r>
    <r>
      <rPr>
        <sz val="9"/>
        <color rgb="FF595959"/>
        <rFont val="WenQuanYi Zen Hei"/>
        <family val="2"/>
      </rPr>
      <t xml:space="preserve">，已合併計算；植感醇黑可可 </t>
    </r>
    <r>
      <rPr>
        <sz val="9"/>
        <color rgb="FF595959"/>
        <rFont val="Arial"/>
        <family val="0"/>
        <charset val="1"/>
      </rPr>
      <t xml:space="preserve">12</t>
    </r>
    <r>
      <rPr>
        <sz val="9"/>
        <color rgb="FF595959"/>
        <rFont val="WenQuanYi Zen Hei"/>
        <family val="2"/>
      </rPr>
      <t xml:space="preserve">入 的變體名稱為「</t>
    </r>
    <r>
      <rPr>
        <sz val="9"/>
        <color rgb="FF595959"/>
        <rFont val="Arial"/>
        <family val="0"/>
        <charset val="1"/>
      </rPr>
      <t xml:space="preserve">12</t>
    </r>
    <r>
      <rPr>
        <sz val="9"/>
        <color rgb="FF595959"/>
        <rFont val="WenQuanYi Zen Hei"/>
        <family val="2"/>
      </rPr>
      <t xml:space="preserve">入」而非「</t>
    </r>
    <r>
      <rPr>
        <sz val="9"/>
        <color rgb="FF595959"/>
        <rFont val="Arial"/>
        <family val="0"/>
        <charset val="1"/>
      </rPr>
      <t xml:space="preserve">12</t>
    </r>
    <r>
      <rPr>
        <sz val="9"/>
        <color rgb="FF595959"/>
        <rFont val="WenQuanYi Zen Hei"/>
        <family val="2"/>
      </rPr>
      <t xml:space="preserve">入組」，建議統一命名以利日後報表比對。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</si>
</sst>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;\(#,##0\);\-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WenQuanYi Zen Hei"/>
      <family val="2"/>
    </font>
    <font>
      <i val="true"/>
      <sz val="9"/>
      <color rgb="FF595959"/>
      <name val="WenQuanYi Zen Hei"/>
      <family val="2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WenQuanYi Zen Hei"/>
      <family val="2"/>
    </font>
    <font>
      <b val="true"/>
      <sz val="10"/>
      <name val="WenQuanYi Zen Hei"/>
      <family val="2"/>
    </font>
    <font>
      <b val="true"/>
      <sz val="10"/>
      <name val="Arial"/>
      <family val="0"/>
      <charset val="1"/>
    </font>
    <font>
      <sz val="10"/>
      <name val="WenQuanYi Zen Hei"/>
      <family val="2"/>
    </font>
    <font>
      <sz val="10"/>
      <name val="Arial"/>
      <family val="0"/>
      <charset val="1"/>
    </font>
    <font>
      <sz val="9"/>
      <color rgb="FF595959"/>
      <name val="Arial"/>
      <family val="0"/>
      <charset val="1"/>
    </font>
    <font>
      <sz val="9"/>
      <color rgb="FF595959"/>
      <name val="WenQuanYi Zen Hei"/>
      <family val="2"/>
    </font>
  </fonts>
  <fills count="7">
    <fill>
      <patternFill patternType="none"/>
    </fill>
    <fill>
      <patternFill patternType="gray125"/>
    </fill>
    <fill>
      <patternFill patternType="solid">
        <fgColor rgb="FF2F5597"/>
        <bgColor rgb="FF595959"/>
      </patternFill>
    </fill>
    <fill>
      <patternFill patternType="solid">
        <fgColor rgb="FFD9E2F3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2"/>
    <col collapsed="false" customWidth="true" hidden="false" outlineLevel="0" max="3" min="3" style="0" width="40"/>
    <col collapsed="false" customWidth="true" hidden="false" outlineLevel="0" max="4" min="4" style="0" width="11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4"/>
  </cols>
  <sheetData>
    <row r="1" customFormat="false" ht="19.4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4.9" hidden="false" customHeight="false" outlineLevel="0" collapsed="false">
      <c r="A4" s="3" t="s">
        <v>2</v>
      </c>
      <c r="B4" s="3"/>
      <c r="C4" s="3"/>
      <c r="D4" s="3"/>
      <c r="E4" s="3"/>
      <c r="F4" s="3"/>
      <c r="G4" s="3"/>
      <c r="H4" s="3"/>
    </row>
    <row r="5" customFormat="false" ht="27.75" hidden="false" customHeight="true" outlineLevel="0" collapsed="false">
      <c r="A5" s="4" t="s">
        <v>3</v>
      </c>
      <c r="B5" s="5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</row>
    <row r="6" customFormat="false" ht="30" hidden="false" customHeight="true" outlineLevel="0" collapsed="false">
      <c r="A6" s="6" t="s">
        <v>11</v>
      </c>
      <c r="B6" s="7" t="s">
        <v>12</v>
      </c>
      <c r="C6" s="6" t="s">
        <v>13</v>
      </c>
      <c r="D6" s="8" t="n">
        <v>10</v>
      </c>
      <c r="E6" s="8" t="n">
        <v>11</v>
      </c>
      <c r="F6" s="9" t="n">
        <v>13579.03</v>
      </c>
      <c r="G6" s="9" t="n">
        <v>-30.02</v>
      </c>
      <c r="H6" s="9" t="n">
        <v>11286.16</v>
      </c>
    </row>
    <row r="7" customFormat="false" ht="30" hidden="false" customHeight="true" outlineLevel="0" collapsed="false">
      <c r="A7" s="6" t="s">
        <v>14</v>
      </c>
      <c r="B7" s="7" t="s">
        <v>15</v>
      </c>
      <c r="C7" s="6" t="s">
        <v>16</v>
      </c>
      <c r="D7" s="8" t="n">
        <v>7</v>
      </c>
      <c r="E7" s="8" t="n">
        <v>7</v>
      </c>
      <c r="F7" s="9" t="n">
        <v>7921.91</v>
      </c>
      <c r="G7" s="9" t="n">
        <v>0</v>
      </c>
      <c r="H7" s="9" t="n">
        <v>7921.91</v>
      </c>
    </row>
    <row r="8" customFormat="false" ht="30" hidden="false" customHeight="true" outlineLevel="0" collapsed="false">
      <c r="A8" s="6" t="s">
        <v>17</v>
      </c>
      <c r="B8" s="7" t="s">
        <v>18</v>
      </c>
      <c r="C8" s="6" t="s">
        <v>19</v>
      </c>
      <c r="D8" s="8" t="n">
        <v>5</v>
      </c>
      <c r="E8" s="8" t="n">
        <v>5</v>
      </c>
      <c r="F8" s="9" t="n">
        <v>4030.4</v>
      </c>
      <c r="G8" s="9" t="n">
        <v>0</v>
      </c>
      <c r="H8" s="9" t="n">
        <v>4030.4</v>
      </c>
    </row>
    <row r="9" customFormat="false" ht="30" hidden="false" customHeight="true" outlineLevel="0" collapsed="false">
      <c r="A9" s="6" t="s">
        <v>20</v>
      </c>
      <c r="B9" s="7" t="s">
        <v>21</v>
      </c>
      <c r="C9" s="6" t="s">
        <v>22</v>
      </c>
      <c r="D9" s="8" t="n">
        <v>4</v>
      </c>
      <c r="E9" s="8" t="n">
        <v>4</v>
      </c>
      <c r="F9" s="9" t="n">
        <v>6788.57</v>
      </c>
      <c r="G9" s="9" t="n">
        <v>0</v>
      </c>
      <c r="H9" s="9" t="n">
        <v>6788.57</v>
      </c>
    </row>
    <row r="10" customFormat="false" ht="30" hidden="false" customHeight="true" outlineLevel="0" collapsed="false">
      <c r="A10" s="6" t="s">
        <v>23</v>
      </c>
      <c r="B10" s="7" t="s">
        <v>24</v>
      </c>
      <c r="C10" s="6" t="s">
        <v>25</v>
      </c>
      <c r="D10" s="8" t="n">
        <v>4</v>
      </c>
      <c r="E10" s="8" t="n">
        <v>4</v>
      </c>
      <c r="F10" s="9" t="n">
        <v>6788.56</v>
      </c>
      <c r="G10" s="9" t="n">
        <v>0</v>
      </c>
      <c r="H10" s="9" t="n">
        <v>6788.56</v>
      </c>
    </row>
    <row r="11" customFormat="false" ht="30" hidden="false" customHeight="true" outlineLevel="0" collapsed="false">
      <c r="A11" s="6" t="s">
        <v>26</v>
      </c>
      <c r="B11" s="7" t="s">
        <v>27</v>
      </c>
      <c r="C11" s="6" t="s">
        <v>28</v>
      </c>
      <c r="D11" s="8" t="n">
        <v>4</v>
      </c>
      <c r="E11" s="8" t="n">
        <v>4</v>
      </c>
      <c r="F11" s="9" t="n">
        <v>4525.72</v>
      </c>
      <c r="G11" s="9" t="n">
        <v>0</v>
      </c>
      <c r="H11" s="9" t="n">
        <v>4525.72</v>
      </c>
    </row>
    <row r="12" customFormat="false" ht="30" hidden="false" customHeight="true" outlineLevel="0" collapsed="false">
      <c r="A12" s="6" t="s">
        <v>29</v>
      </c>
      <c r="B12" s="10" t="s">
        <v>30</v>
      </c>
      <c r="C12" s="6" t="s">
        <v>31</v>
      </c>
      <c r="D12" s="8" t="n">
        <v>2</v>
      </c>
      <c r="E12" s="8" t="n">
        <v>2</v>
      </c>
      <c r="F12" s="9" t="n">
        <v>3373.33</v>
      </c>
      <c r="G12" s="9" t="n">
        <v>0</v>
      </c>
      <c r="H12" s="9" t="n">
        <v>3373.33</v>
      </c>
    </row>
    <row r="13" customFormat="false" ht="30" hidden="false" customHeight="true" outlineLevel="0" collapsed="false">
      <c r="A13" s="6" t="s">
        <v>32</v>
      </c>
      <c r="B13" s="7" t="s">
        <v>33</v>
      </c>
      <c r="C13" s="6" t="s">
        <v>34</v>
      </c>
      <c r="D13" s="8" t="n">
        <v>2</v>
      </c>
      <c r="E13" s="8" t="n">
        <v>2</v>
      </c>
      <c r="F13" s="9" t="n">
        <v>3394.28</v>
      </c>
      <c r="G13" s="9" t="n">
        <v>0</v>
      </c>
      <c r="H13" s="9" t="n">
        <v>3394.28</v>
      </c>
    </row>
    <row r="14" customFormat="false" ht="30" hidden="false" customHeight="true" outlineLevel="0" collapsed="false">
      <c r="A14" s="6" t="s">
        <v>35</v>
      </c>
      <c r="B14" s="7" t="s">
        <v>36</v>
      </c>
      <c r="C14" s="6" t="s">
        <v>37</v>
      </c>
      <c r="D14" s="8" t="n">
        <v>2</v>
      </c>
      <c r="E14" s="8" t="n">
        <v>2</v>
      </c>
      <c r="F14" s="9" t="n">
        <v>3394.28</v>
      </c>
      <c r="G14" s="9" t="n">
        <v>0</v>
      </c>
      <c r="H14" s="9" t="n">
        <v>3394.28</v>
      </c>
    </row>
    <row r="15" customFormat="false" ht="30" hidden="false" customHeight="true" outlineLevel="0" collapsed="false">
      <c r="A15" s="6" t="s">
        <v>38</v>
      </c>
      <c r="B15" s="7" t="s">
        <v>39</v>
      </c>
      <c r="C15" s="6" t="s">
        <v>40</v>
      </c>
      <c r="D15" s="8" t="n">
        <v>2</v>
      </c>
      <c r="E15" s="8" t="n">
        <v>2</v>
      </c>
      <c r="F15" s="9" t="n">
        <v>4379.04</v>
      </c>
      <c r="G15" s="9" t="n">
        <v>0</v>
      </c>
      <c r="H15" s="9" t="n">
        <v>4379.04</v>
      </c>
    </row>
    <row r="16" customFormat="false" ht="30" hidden="false" customHeight="true" outlineLevel="0" collapsed="false">
      <c r="A16" s="6" t="s">
        <v>41</v>
      </c>
      <c r="B16" s="7" t="s">
        <v>42</v>
      </c>
      <c r="C16" s="6" t="s">
        <v>43</v>
      </c>
      <c r="D16" s="8" t="n">
        <v>1</v>
      </c>
      <c r="E16" s="8" t="n">
        <v>2</v>
      </c>
      <c r="F16" s="9" t="n">
        <v>2262.86</v>
      </c>
      <c r="G16" s="9" t="n">
        <v>0</v>
      </c>
      <c r="H16" s="9" t="n">
        <v>1131.43</v>
      </c>
    </row>
    <row r="17" customFormat="false" ht="30" hidden="false" customHeight="true" outlineLevel="0" collapsed="false">
      <c r="A17" s="6" t="s">
        <v>44</v>
      </c>
      <c r="B17" s="7" t="s">
        <v>45</v>
      </c>
      <c r="C17" s="6" t="s">
        <v>46</v>
      </c>
      <c r="D17" s="8" t="n">
        <v>0</v>
      </c>
      <c r="E17" s="8" t="n">
        <v>1</v>
      </c>
      <c r="F17" s="9" t="n">
        <v>1131.43</v>
      </c>
      <c r="G17" s="9" t="n">
        <v>0</v>
      </c>
      <c r="H17" s="9" t="n">
        <v>0</v>
      </c>
    </row>
    <row r="18" customFormat="false" ht="15" hidden="false" customHeight="false" outlineLevel="0" collapsed="false">
      <c r="A18" s="11" t="s">
        <v>47</v>
      </c>
      <c r="B18" s="12"/>
      <c r="C18" s="12"/>
      <c r="D18" s="13" t="n">
        <f aca="false">SUM(D6:D17)</f>
        <v>43</v>
      </c>
      <c r="E18" s="13" t="n">
        <f aca="false">SUM(E6:E17)</f>
        <v>46</v>
      </c>
      <c r="F18" s="14" t="n">
        <f aca="false">SUM(F6:F17)</f>
        <v>61569.41</v>
      </c>
      <c r="G18" s="14" t="n">
        <f aca="false">SUM(G6:G17)</f>
        <v>-30.02</v>
      </c>
      <c r="H18" s="14" t="n">
        <f aca="false">SUM(H6:H17)</f>
        <v>57013.68</v>
      </c>
    </row>
    <row r="20" customFormat="false" ht="14.9" hidden="false" customHeight="false" outlineLevel="0" collapsed="false">
      <c r="A20" s="3" t="s">
        <v>48</v>
      </c>
      <c r="B20" s="3"/>
      <c r="C20" s="3"/>
      <c r="D20" s="3"/>
      <c r="E20" s="3"/>
      <c r="F20" s="3"/>
      <c r="G20" s="3"/>
      <c r="H20" s="3"/>
    </row>
    <row r="21" customFormat="false" ht="15" hidden="false" customHeight="false" outlineLevel="0" collapsed="false">
      <c r="A21" s="4" t="s">
        <v>49</v>
      </c>
      <c r="B21" s="5" t="s">
        <v>4</v>
      </c>
      <c r="C21" s="4" t="s">
        <v>5</v>
      </c>
      <c r="D21" s="4" t="s">
        <v>6</v>
      </c>
      <c r="E21" s="4" t="s">
        <v>7</v>
      </c>
      <c r="F21" s="4" t="s">
        <v>50</v>
      </c>
      <c r="G21" s="4"/>
      <c r="H21" s="4"/>
    </row>
    <row r="22" customFormat="false" ht="30" hidden="false" customHeight="true" outlineLevel="0" collapsed="false">
      <c r="A22" s="6" t="s">
        <v>51</v>
      </c>
      <c r="B22" s="10" t="s">
        <v>52</v>
      </c>
      <c r="C22" s="6" t="s">
        <v>53</v>
      </c>
      <c r="D22" s="8" t="n">
        <v>15</v>
      </c>
      <c r="E22" s="8" t="n">
        <v>12</v>
      </c>
      <c r="F22" s="6" t="s">
        <v>54</v>
      </c>
      <c r="G22" s="6"/>
      <c r="H22" s="6"/>
    </row>
    <row r="23" customFormat="false" ht="30" hidden="false" customHeight="true" outlineLevel="0" collapsed="false">
      <c r="A23" s="6" t="s">
        <v>55</v>
      </c>
      <c r="B23" s="10" t="s">
        <v>52</v>
      </c>
      <c r="C23" s="15" t="s">
        <v>56</v>
      </c>
      <c r="D23" s="8" t="n">
        <v>9</v>
      </c>
      <c r="E23" s="8" t="n">
        <v>9</v>
      </c>
      <c r="F23" s="6" t="s">
        <v>57</v>
      </c>
      <c r="G23" s="6"/>
      <c r="H23" s="6"/>
    </row>
    <row r="24" customFormat="false" ht="30" hidden="false" customHeight="true" outlineLevel="0" collapsed="false">
      <c r="A24" s="6" t="s">
        <v>58</v>
      </c>
      <c r="B24" s="10" t="s">
        <v>52</v>
      </c>
      <c r="C24" s="6" t="s">
        <v>59</v>
      </c>
      <c r="D24" s="8" t="n">
        <v>5</v>
      </c>
      <c r="E24" s="8" t="n">
        <v>5</v>
      </c>
      <c r="F24" s="6" t="s">
        <v>60</v>
      </c>
      <c r="G24" s="6"/>
      <c r="H24" s="6"/>
    </row>
    <row r="25" customFormat="false" ht="30" hidden="false" customHeight="true" outlineLevel="0" collapsed="false">
      <c r="A25" s="6" t="s">
        <v>61</v>
      </c>
      <c r="B25" s="10" t="s">
        <v>52</v>
      </c>
      <c r="C25" s="15" t="s">
        <v>62</v>
      </c>
      <c r="D25" s="8" t="n">
        <v>1</v>
      </c>
      <c r="E25" s="8" t="n">
        <v>1</v>
      </c>
      <c r="F25" s="6" t="s">
        <v>63</v>
      </c>
      <c r="G25" s="6"/>
      <c r="H25" s="6"/>
    </row>
    <row r="26" customFormat="false" ht="30" hidden="false" customHeight="true" outlineLevel="0" collapsed="false">
      <c r="A26" s="6" t="s">
        <v>64</v>
      </c>
      <c r="B26" s="10" t="s">
        <v>52</v>
      </c>
      <c r="C26" s="6" t="s">
        <v>65</v>
      </c>
      <c r="D26" s="8" t="n">
        <v>0</v>
      </c>
      <c r="E26" s="8" t="n">
        <v>0</v>
      </c>
      <c r="F26" s="15" t="s">
        <v>66</v>
      </c>
      <c r="G26" s="15"/>
      <c r="H26" s="15"/>
    </row>
    <row r="27" customFormat="false" ht="15" hidden="false" customHeight="false" outlineLevel="0" collapsed="false">
      <c r="A27" s="11" t="s">
        <v>47</v>
      </c>
      <c r="B27" s="12"/>
      <c r="C27" s="12"/>
      <c r="D27" s="13" t="n">
        <f aca="false">SUM(D22:D26)</f>
        <v>30</v>
      </c>
      <c r="E27" s="13" t="n">
        <f aca="false">SUM(E22:E26)</f>
        <v>27</v>
      </c>
      <c r="F27" s="12"/>
      <c r="G27" s="12"/>
      <c r="H27" s="12"/>
    </row>
    <row r="28" customFormat="false" ht="15" hidden="false" customHeight="false" outlineLevel="0" collapsed="false">
      <c r="A28" s="16" t="s">
        <v>67</v>
      </c>
      <c r="B28" s="17"/>
      <c r="C28" s="17"/>
      <c r="D28" s="18" t="n">
        <f aca="false">D18+D27</f>
        <v>73</v>
      </c>
      <c r="E28" s="17"/>
      <c r="F28" s="17"/>
      <c r="G28" s="17"/>
      <c r="H28" s="17"/>
    </row>
    <row r="30" customFormat="false" ht="15" hidden="false" customHeight="true" outlineLevel="0" collapsed="false">
      <c r="A30" s="19" t="s">
        <v>68</v>
      </c>
      <c r="B30" s="19"/>
      <c r="C30" s="19"/>
      <c r="D30" s="19"/>
      <c r="E30" s="19"/>
      <c r="F30" s="19"/>
      <c r="G30" s="19"/>
      <c r="H30" s="19"/>
    </row>
    <row r="31" customFormat="false" ht="25.5" hidden="false" customHeight="true" outlineLevel="0" collapsed="false">
      <c r="A31" s="20" t="s">
        <v>69</v>
      </c>
      <c r="B31" s="20"/>
      <c r="C31" s="20"/>
      <c r="D31" s="20"/>
      <c r="E31" s="20"/>
      <c r="F31" s="20"/>
      <c r="G31" s="20"/>
      <c r="H31" s="20"/>
    </row>
    <row r="32" customFormat="false" ht="25.5" hidden="false" customHeight="true" outlineLevel="0" collapsed="false">
      <c r="A32" s="20" t="s">
        <v>70</v>
      </c>
      <c r="B32" s="20"/>
      <c r="C32" s="20"/>
      <c r="D32" s="20"/>
      <c r="E32" s="20"/>
      <c r="F32" s="20"/>
      <c r="G32" s="20"/>
      <c r="H32" s="20"/>
    </row>
    <row r="33" customFormat="false" ht="25.5" hidden="false" customHeight="true" outlineLevel="0" collapsed="false">
      <c r="A33" s="20" t="s">
        <v>71</v>
      </c>
      <c r="B33" s="20"/>
      <c r="C33" s="20"/>
      <c r="D33" s="20"/>
      <c r="E33" s="20"/>
      <c r="F33" s="20"/>
      <c r="G33" s="20"/>
      <c r="H33" s="20"/>
    </row>
    <row r="34" customFormat="false" ht="25.5" hidden="false" customHeight="true" outlineLevel="0" collapsed="false">
      <c r="A34" s="20" t="s">
        <v>72</v>
      </c>
      <c r="B34" s="20"/>
      <c r="C34" s="20"/>
      <c r="D34" s="20"/>
      <c r="E34" s="20"/>
      <c r="F34" s="20"/>
      <c r="G34" s="20"/>
      <c r="H34" s="20"/>
    </row>
    <row r="35" customFormat="false" ht="25.5" hidden="false" customHeight="true" outlineLevel="0" collapsed="false">
      <c r="A35" s="20" t="s">
        <v>73</v>
      </c>
      <c r="B35" s="20"/>
      <c r="C35" s="20"/>
      <c r="D35" s="20"/>
      <c r="E35" s="20"/>
      <c r="F35" s="20"/>
      <c r="G35" s="20"/>
      <c r="H35" s="20"/>
    </row>
    <row r="36" customFormat="false" ht="25.5" hidden="false" customHeight="true" outlineLevel="0" collapsed="false">
      <c r="A36" s="20" t="s">
        <v>74</v>
      </c>
      <c r="B36" s="20"/>
      <c r="C36" s="20"/>
      <c r="D36" s="20"/>
      <c r="E36" s="20"/>
      <c r="F36" s="20"/>
      <c r="G36" s="20"/>
      <c r="H36" s="20"/>
    </row>
  </sheetData>
  <mergeCells count="15">
    <mergeCell ref="A4:H4"/>
    <mergeCell ref="A20:H20"/>
    <mergeCell ref="F21:H21"/>
    <mergeCell ref="F22:H22"/>
    <mergeCell ref="F23:H23"/>
    <mergeCell ref="F24:H24"/>
    <mergeCell ref="F25:H25"/>
    <mergeCell ref="F26:H26"/>
    <mergeCell ref="A30:H30"/>
    <mergeCell ref="A31:H31"/>
    <mergeCell ref="A32:H32"/>
    <mergeCell ref="A33:H33"/>
    <mergeCell ref="A34:H34"/>
    <mergeCell ref="A35:H35"/>
    <mergeCell ref="A36:H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1"/>
    <col collapsed="false" customWidth="true" hidden="false" outlineLevel="0" max="4" min="3" style="0" width="13"/>
    <col collapsed="false" customWidth="true" hidden="false" outlineLevel="0" max="5" min="5" style="0" width="14"/>
    <col collapsed="false" customWidth="true" hidden="false" outlineLevel="0" max="6" min="6" style="0" width="30"/>
  </cols>
  <sheetData>
    <row r="1" customFormat="false" ht="19.4" hidden="false" customHeight="false" outlineLevel="0" collapsed="false">
      <c r="A1" s="1" t="s">
        <v>75</v>
      </c>
    </row>
    <row r="2" customFormat="false" ht="15" hidden="false" customHeight="false" outlineLevel="0" collapsed="false">
      <c r="A2" s="2" t="s">
        <v>76</v>
      </c>
    </row>
    <row r="4" customFormat="false" ht="14.9" hidden="false" customHeight="false" outlineLevel="0" collapsed="false">
      <c r="A4" s="3" t="s">
        <v>77</v>
      </c>
      <c r="B4" s="3"/>
      <c r="C4" s="3"/>
      <c r="D4" s="3"/>
      <c r="E4" s="3"/>
      <c r="F4" s="3"/>
    </row>
    <row r="5" customFormat="false" ht="31.5" hidden="false" customHeight="true" outlineLevel="0" collapsed="false">
      <c r="A5" s="21" t="s">
        <v>78</v>
      </c>
      <c r="B5" s="21" t="s">
        <v>6</v>
      </c>
      <c r="C5" s="21" t="s">
        <v>79</v>
      </c>
      <c r="D5" s="21" t="s">
        <v>80</v>
      </c>
      <c r="E5" s="21" t="s">
        <v>81</v>
      </c>
      <c r="F5" s="21" t="s">
        <v>82</v>
      </c>
    </row>
    <row r="6" customFormat="false" ht="21.75" hidden="false" customHeight="true" outlineLevel="0" collapsed="false">
      <c r="A6" s="6" t="s">
        <v>83</v>
      </c>
      <c r="B6" s="8" t="n">
        <v>10</v>
      </c>
      <c r="C6" s="8" t="n">
        <v>2</v>
      </c>
      <c r="D6" s="8" t="n">
        <f aca="false">B6*C6</f>
        <v>20</v>
      </c>
      <c r="E6" s="8" t="n">
        <f aca="false">D6*12</f>
        <v>240</v>
      </c>
      <c r="F6" s="6"/>
    </row>
    <row r="7" customFormat="false" ht="21.75" hidden="false" customHeight="true" outlineLevel="0" collapsed="false">
      <c r="A7" s="6" t="s">
        <v>84</v>
      </c>
      <c r="B7" s="8" t="n">
        <v>7</v>
      </c>
      <c r="C7" s="8" t="n">
        <v>2</v>
      </c>
      <c r="D7" s="8" t="n">
        <f aca="false">B7*C7</f>
        <v>14</v>
      </c>
      <c r="E7" s="8" t="n">
        <f aca="false">D7*12</f>
        <v>168</v>
      </c>
      <c r="F7" s="6"/>
    </row>
    <row r="8" customFormat="false" ht="21.75" hidden="false" customHeight="true" outlineLevel="0" collapsed="false">
      <c r="A8" s="6" t="s">
        <v>85</v>
      </c>
      <c r="B8" s="8" t="n">
        <v>4</v>
      </c>
      <c r="C8" s="8" t="n">
        <v>3</v>
      </c>
      <c r="D8" s="8" t="n">
        <f aca="false">B8*C8</f>
        <v>12</v>
      </c>
      <c r="E8" s="8" t="n">
        <f aca="false">D8*12</f>
        <v>144</v>
      </c>
      <c r="F8" s="6"/>
    </row>
    <row r="9" customFormat="false" ht="21.75" hidden="false" customHeight="true" outlineLevel="0" collapsed="false">
      <c r="A9" s="6" t="s">
        <v>86</v>
      </c>
      <c r="B9" s="8" t="n">
        <v>4</v>
      </c>
      <c r="C9" s="8" t="n">
        <v>3</v>
      </c>
      <c r="D9" s="8" t="n">
        <f aca="false">B9*C9</f>
        <v>12</v>
      </c>
      <c r="E9" s="8" t="n">
        <f aca="false">D9*12</f>
        <v>144</v>
      </c>
      <c r="F9" s="6"/>
    </row>
    <row r="10" customFormat="false" ht="21.75" hidden="false" customHeight="true" outlineLevel="0" collapsed="false">
      <c r="A10" s="6" t="s">
        <v>87</v>
      </c>
      <c r="B10" s="8" t="n">
        <v>4</v>
      </c>
      <c r="C10" s="8" t="n">
        <v>2</v>
      </c>
      <c r="D10" s="8" t="n">
        <f aca="false">B10*C10</f>
        <v>8</v>
      </c>
      <c r="E10" s="8" t="n">
        <f aca="false">D10*12</f>
        <v>96</v>
      </c>
      <c r="F10" s="6"/>
    </row>
    <row r="11" customFormat="false" ht="21.75" hidden="false" customHeight="true" outlineLevel="0" collapsed="false">
      <c r="A11" s="6" t="s">
        <v>88</v>
      </c>
      <c r="B11" s="8" t="n">
        <v>2</v>
      </c>
      <c r="C11" s="8" t="n">
        <v>3</v>
      </c>
      <c r="D11" s="8" t="n">
        <f aca="false">B11*C11</f>
        <v>6</v>
      </c>
      <c r="E11" s="8" t="n">
        <f aca="false">D11*12</f>
        <v>72</v>
      </c>
      <c r="F11" s="6"/>
    </row>
    <row r="12" customFormat="false" ht="21.75" hidden="false" customHeight="true" outlineLevel="0" collapsed="false">
      <c r="A12" s="6" t="s">
        <v>89</v>
      </c>
      <c r="B12" s="8" t="n">
        <v>2</v>
      </c>
      <c r="C12" s="8" t="n">
        <v>3</v>
      </c>
      <c r="D12" s="8" t="n">
        <f aca="false">B12*C12</f>
        <v>6</v>
      </c>
      <c r="E12" s="8" t="n">
        <f aca="false">D12*12</f>
        <v>72</v>
      </c>
      <c r="F12" s="6"/>
    </row>
    <row r="13" customFormat="false" ht="21.75" hidden="false" customHeight="true" outlineLevel="0" collapsed="false">
      <c r="A13" s="6" t="s">
        <v>90</v>
      </c>
      <c r="B13" s="8" t="n">
        <v>2</v>
      </c>
      <c r="C13" s="8" t="n">
        <v>3</v>
      </c>
      <c r="D13" s="8" t="n">
        <f aca="false">B13*C13</f>
        <v>6</v>
      </c>
      <c r="E13" s="8" t="n">
        <f aca="false">D13*12</f>
        <v>72</v>
      </c>
      <c r="F13" s="6"/>
    </row>
    <row r="14" customFormat="false" ht="21.75" hidden="false" customHeight="true" outlineLevel="0" collapsed="false">
      <c r="A14" s="6" t="s">
        <v>91</v>
      </c>
      <c r="B14" s="8" t="n">
        <v>2</v>
      </c>
      <c r="C14" s="8" t="n">
        <v>4</v>
      </c>
      <c r="D14" s="8" t="n">
        <f aca="false">B14*C14</f>
        <v>8</v>
      </c>
      <c r="E14" s="8" t="n">
        <f aca="false">D14*12</f>
        <v>96</v>
      </c>
      <c r="F14" s="6" t="s">
        <v>92</v>
      </c>
    </row>
    <row r="15" customFormat="false" ht="21.75" hidden="false" customHeight="true" outlineLevel="0" collapsed="false">
      <c r="A15" s="6" t="s">
        <v>93</v>
      </c>
      <c r="B15" s="8" t="n">
        <v>1</v>
      </c>
      <c r="C15" s="8" t="n">
        <v>2</v>
      </c>
      <c r="D15" s="8" t="n">
        <f aca="false">B15*C15</f>
        <v>2</v>
      </c>
      <c r="E15" s="8" t="n">
        <f aca="false">D15*12</f>
        <v>24</v>
      </c>
      <c r="F15" s="6"/>
    </row>
    <row r="16" customFormat="false" ht="21.75" hidden="false" customHeight="true" outlineLevel="0" collapsed="false">
      <c r="A16" s="6" t="s">
        <v>94</v>
      </c>
      <c r="B16" s="8" t="n">
        <v>0</v>
      </c>
      <c r="C16" s="8" t="n">
        <v>2</v>
      </c>
      <c r="D16" s="8" t="n">
        <f aca="false">B16*C16</f>
        <v>0</v>
      </c>
      <c r="E16" s="8" t="n">
        <f aca="false">D16*12</f>
        <v>0</v>
      </c>
      <c r="F16" s="6"/>
    </row>
    <row r="17" customFormat="false" ht="21.75" hidden="false" customHeight="true" outlineLevel="0" collapsed="false">
      <c r="A17" s="6" t="s">
        <v>95</v>
      </c>
      <c r="B17" s="8" t="n">
        <v>5</v>
      </c>
      <c r="C17" s="8" t="n">
        <v>0</v>
      </c>
      <c r="D17" s="8" t="n">
        <f aca="false">B17*C17</f>
        <v>0</v>
      </c>
      <c r="E17" s="8" t="n">
        <f aca="false">D17*12</f>
        <v>0</v>
      </c>
      <c r="F17" s="15" t="s">
        <v>96</v>
      </c>
    </row>
    <row r="18" customFormat="false" ht="21.75" hidden="false" customHeight="true" outlineLevel="0" collapsed="false">
      <c r="A18" s="6" t="s">
        <v>97</v>
      </c>
      <c r="B18" s="8" t="n">
        <v>9</v>
      </c>
      <c r="C18" s="8" t="n">
        <v>1</v>
      </c>
      <c r="D18" s="8" t="n">
        <f aca="false">B18*C18</f>
        <v>9</v>
      </c>
      <c r="E18" s="8" t="n">
        <f aca="false">D18*12</f>
        <v>108</v>
      </c>
      <c r="F18" s="6" t="s">
        <v>98</v>
      </c>
    </row>
    <row r="19" customFormat="false" ht="21.75" hidden="false" customHeight="true" outlineLevel="0" collapsed="false">
      <c r="A19" s="6" t="s">
        <v>99</v>
      </c>
      <c r="B19" s="8" t="n">
        <v>5</v>
      </c>
      <c r="C19" s="8" t="n">
        <v>4</v>
      </c>
      <c r="D19" s="8" t="n">
        <f aca="false">B19*C19</f>
        <v>20</v>
      </c>
      <c r="E19" s="8" t="n">
        <f aca="false">D19*12</f>
        <v>240</v>
      </c>
      <c r="F19" s="6"/>
    </row>
    <row r="20" customFormat="false" ht="21.75" hidden="false" customHeight="true" outlineLevel="0" collapsed="false">
      <c r="A20" s="6" t="s">
        <v>100</v>
      </c>
      <c r="B20" s="8" t="n">
        <v>15</v>
      </c>
      <c r="C20" s="8" t="n">
        <v>0</v>
      </c>
      <c r="D20" s="8" t="n">
        <f aca="false">B20*C20</f>
        <v>0</v>
      </c>
      <c r="E20" s="8" t="n">
        <f aca="false">D20*12</f>
        <v>0</v>
      </c>
      <c r="F20" s="15" t="s">
        <v>101</v>
      </c>
    </row>
    <row r="21" customFormat="false" ht="21.75" hidden="false" customHeight="true" outlineLevel="0" collapsed="false">
      <c r="A21" s="6" t="s">
        <v>102</v>
      </c>
      <c r="B21" s="8" t="n">
        <v>1</v>
      </c>
      <c r="C21" s="8" t="n">
        <v>0</v>
      </c>
      <c r="D21" s="8" t="n">
        <f aca="false">B21*C21</f>
        <v>0</v>
      </c>
      <c r="E21" s="8" t="n">
        <f aca="false">D21*12</f>
        <v>0</v>
      </c>
      <c r="F21" s="15" t="s">
        <v>103</v>
      </c>
    </row>
    <row r="22" customFormat="false" ht="15" hidden="false" customHeight="false" outlineLevel="0" collapsed="false">
      <c r="A22" s="11" t="s">
        <v>104</v>
      </c>
      <c r="B22" s="13" t="n">
        <f aca="false">SUM(B6:B21)</f>
        <v>73</v>
      </c>
      <c r="C22" s="12"/>
      <c r="D22" s="13" t="n">
        <f aca="false">SUM(D6:D21)</f>
        <v>123</v>
      </c>
      <c r="E22" s="13" t="n">
        <f aca="false">SUM(E6:E21)</f>
        <v>1476</v>
      </c>
      <c r="F22" s="12"/>
    </row>
    <row r="24" customFormat="false" ht="14.9" hidden="false" customHeight="false" outlineLevel="0" collapsed="false">
      <c r="A24" s="3" t="s">
        <v>105</v>
      </c>
      <c r="B24" s="3"/>
      <c r="C24" s="3"/>
      <c r="D24" s="3"/>
      <c r="E24" s="3"/>
      <c r="F24" s="3"/>
    </row>
    <row r="25" customFormat="false" ht="25.5" hidden="false" customHeight="true" outlineLevel="0" collapsed="false">
      <c r="A25" s="21" t="s">
        <v>106</v>
      </c>
      <c r="B25" s="22" t="s">
        <v>107</v>
      </c>
      <c r="C25" s="22" t="s">
        <v>108</v>
      </c>
      <c r="D25" s="21" t="s">
        <v>109</v>
      </c>
      <c r="E25" s="21" t="s">
        <v>110</v>
      </c>
      <c r="F25" s="21" t="s">
        <v>111</v>
      </c>
    </row>
    <row r="26" customFormat="false" ht="15" hidden="false" customHeight="false" outlineLevel="0" collapsed="false">
      <c r="A26" s="6" t="s">
        <v>112</v>
      </c>
      <c r="B26" s="7" t="s">
        <v>113</v>
      </c>
      <c r="C26" s="7" t="s">
        <v>114</v>
      </c>
      <c r="D26" s="8" t="n">
        <v>26</v>
      </c>
      <c r="E26" s="8" t="n">
        <v>36</v>
      </c>
      <c r="F26" s="8" t="n">
        <f aca="false">D26*12+E26</f>
        <v>348</v>
      </c>
    </row>
    <row r="27" customFormat="false" ht="15" hidden="false" customHeight="false" outlineLevel="0" collapsed="false">
      <c r="A27" s="6" t="s">
        <v>115</v>
      </c>
      <c r="B27" s="7" t="s">
        <v>116</v>
      </c>
      <c r="C27" s="7" t="s">
        <v>117</v>
      </c>
      <c r="D27" s="8" t="n">
        <v>24</v>
      </c>
      <c r="E27" s="8" t="n">
        <v>26</v>
      </c>
      <c r="F27" s="8" t="n">
        <f aca="false">D27*12+E27</f>
        <v>314</v>
      </c>
    </row>
    <row r="28" customFormat="false" ht="15" hidden="false" customHeight="false" outlineLevel="0" collapsed="false">
      <c r="A28" s="6" t="s">
        <v>118</v>
      </c>
      <c r="B28" s="7" t="s">
        <v>119</v>
      </c>
      <c r="C28" s="7" t="s">
        <v>120</v>
      </c>
      <c r="D28" s="8" t="n">
        <v>16</v>
      </c>
      <c r="E28" s="8" t="n">
        <v>30</v>
      </c>
      <c r="F28" s="8" t="n">
        <f aca="false">D28*12+E28</f>
        <v>222</v>
      </c>
    </row>
    <row r="29" customFormat="false" ht="15" hidden="false" customHeight="false" outlineLevel="0" collapsed="false">
      <c r="A29" s="6" t="s">
        <v>121</v>
      </c>
      <c r="B29" s="7" t="s">
        <v>122</v>
      </c>
      <c r="C29" s="7" t="s">
        <v>123</v>
      </c>
      <c r="D29" s="8" t="n">
        <v>14</v>
      </c>
      <c r="E29" s="8" t="n">
        <v>24</v>
      </c>
      <c r="F29" s="8" t="n">
        <f aca="false">D29*12+E29</f>
        <v>192</v>
      </c>
    </row>
    <row r="30" customFormat="false" ht="15" hidden="false" customHeight="false" outlineLevel="0" collapsed="false">
      <c r="A30" s="6" t="s">
        <v>124</v>
      </c>
      <c r="B30" s="7" t="s">
        <v>125</v>
      </c>
      <c r="C30" s="7" t="s">
        <v>126</v>
      </c>
      <c r="D30" s="8" t="n">
        <v>12</v>
      </c>
      <c r="E30" s="8" t="n">
        <v>24</v>
      </c>
      <c r="F30" s="8" t="n">
        <f aca="false">D30*12+E30</f>
        <v>168</v>
      </c>
    </row>
    <row r="31" customFormat="false" ht="15" hidden="false" customHeight="false" outlineLevel="0" collapsed="false">
      <c r="A31" s="6" t="s">
        <v>127</v>
      </c>
      <c r="B31" s="7" t="s">
        <v>128</v>
      </c>
      <c r="C31" s="7" t="s">
        <v>129</v>
      </c>
      <c r="D31" s="8" t="n">
        <v>10</v>
      </c>
      <c r="E31" s="8" t="n">
        <v>21</v>
      </c>
      <c r="F31" s="8" t="n">
        <f aca="false">D31*12+E31</f>
        <v>141</v>
      </c>
    </row>
    <row r="32" customFormat="false" ht="15" hidden="false" customHeight="false" outlineLevel="0" collapsed="false">
      <c r="A32" s="6" t="s">
        <v>130</v>
      </c>
      <c r="B32" s="7" t="s">
        <v>131</v>
      </c>
      <c r="C32" s="7" t="s">
        <v>132</v>
      </c>
      <c r="D32" s="8" t="n">
        <v>10</v>
      </c>
      <c r="E32" s="8" t="n">
        <v>20</v>
      </c>
      <c r="F32" s="8" t="n">
        <f aca="false">D32*12+E32</f>
        <v>140</v>
      </c>
    </row>
    <row r="33" customFormat="false" ht="15" hidden="false" customHeight="false" outlineLevel="0" collapsed="false">
      <c r="A33" s="6" t="s">
        <v>133</v>
      </c>
      <c r="B33" s="7" t="s">
        <v>134</v>
      </c>
      <c r="C33" s="7" t="s">
        <v>135</v>
      </c>
      <c r="D33" s="8" t="n">
        <v>5</v>
      </c>
      <c r="E33" s="8" t="n">
        <v>0</v>
      </c>
      <c r="F33" s="8" t="n">
        <f aca="false">D33*12+E33</f>
        <v>60</v>
      </c>
    </row>
    <row r="34" customFormat="false" ht="15" hidden="false" customHeight="false" outlineLevel="0" collapsed="false">
      <c r="A34" s="23" t="s">
        <v>136</v>
      </c>
      <c r="B34" s="24" t="s">
        <v>137</v>
      </c>
      <c r="C34" s="24" t="s">
        <v>137</v>
      </c>
      <c r="D34" s="25" t="n">
        <v>6</v>
      </c>
      <c r="E34" s="25" t="n">
        <v>0</v>
      </c>
      <c r="F34" s="25" t="n">
        <f aca="false">D34*12+E34</f>
        <v>72</v>
      </c>
    </row>
    <row r="35" customFormat="false" ht="15" hidden="false" customHeight="false" outlineLevel="0" collapsed="false">
      <c r="A35" s="11" t="s">
        <v>104</v>
      </c>
      <c r="B35" s="12"/>
      <c r="C35" s="12"/>
      <c r="D35" s="13" t="n">
        <f aca="false">SUM(D26:D34)</f>
        <v>123</v>
      </c>
      <c r="E35" s="13" t="n">
        <f aca="false">SUM(E26:E34)</f>
        <v>181</v>
      </c>
      <c r="F35" s="13" t="n">
        <f aca="false">SUM(F26:F34)</f>
        <v>1657</v>
      </c>
    </row>
    <row r="36" customFormat="false" ht="15" hidden="false" customHeight="false" outlineLevel="0" collapsed="false">
      <c r="D36" s="26" t="str">
        <f aca="false">IF(D35=D22,"✓ 與 A 區盒數一致","✗ 不一致")</f>
        <v>✓ 與 A 區盒數一致</v>
      </c>
      <c r="E36" s="26"/>
      <c r="F36" s="26"/>
    </row>
    <row r="38" customFormat="false" ht="14.9" hidden="false" customHeight="false" outlineLevel="0" collapsed="false">
      <c r="A38" s="3" t="s">
        <v>138</v>
      </c>
      <c r="B38" s="3"/>
      <c r="C38" s="3"/>
      <c r="D38" s="3"/>
      <c r="E38" s="3"/>
      <c r="F38" s="3"/>
    </row>
    <row r="39" customFormat="false" ht="15" hidden="false" customHeight="false" outlineLevel="0" collapsed="false">
      <c r="A39" s="4" t="s">
        <v>139</v>
      </c>
      <c r="B39" s="5" t="s">
        <v>4</v>
      </c>
      <c r="C39" s="4" t="s">
        <v>140</v>
      </c>
      <c r="D39" s="4" t="s">
        <v>141</v>
      </c>
      <c r="E39" s="4" t="s">
        <v>142</v>
      </c>
      <c r="F39" s="4"/>
    </row>
    <row r="40" customFormat="false" ht="15" hidden="false" customHeight="true" outlineLevel="0" collapsed="false">
      <c r="A40" s="15" t="s">
        <v>143</v>
      </c>
      <c r="B40" s="7" t="s">
        <v>144</v>
      </c>
      <c r="C40" s="8" t="n">
        <v>6</v>
      </c>
      <c r="D40" s="10" t="s">
        <v>145</v>
      </c>
      <c r="E40" s="6" t="s">
        <v>146</v>
      </c>
      <c r="F40" s="6"/>
    </row>
    <row r="41" customFormat="false" ht="15" hidden="false" customHeight="true" outlineLevel="0" collapsed="false">
      <c r="A41" s="15" t="s">
        <v>147</v>
      </c>
      <c r="B41" s="7" t="s">
        <v>148</v>
      </c>
      <c r="C41" s="8" t="n">
        <v>5</v>
      </c>
      <c r="D41" s="10" t="s">
        <v>145</v>
      </c>
      <c r="E41" s="6" t="s">
        <v>149</v>
      </c>
      <c r="F41" s="6"/>
    </row>
    <row r="42" customFormat="false" ht="15" hidden="false" customHeight="true" outlineLevel="0" collapsed="false">
      <c r="A42" s="6" t="s">
        <v>150</v>
      </c>
      <c r="B42" s="7" t="s">
        <v>151</v>
      </c>
      <c r="C42" s="8" t="n">
        <v>10</v>
      </c>
      <c r="D42" s="10" t="s">
        <v>152</v>
      </c>
      <c r="E42" s="6" t="s">
        <v>153</v>
      </c>
      <c r="F42" s="6"/>
    </row>
    <row r="43" customFormat="false" ht="15" hidden="false" customHeight="true" outlineLevel="0" collapsed="false">
      <c r="A43" s="6" t="s">
        <v>154</v>
      </c>
      <c r="B43" s="7" t="s">
        <v>137</v>
      </c>
      <c r="C43" s="8" t="n">
        <v>2</v>
      </c>
      <c r="D43" s="10" t="s">
        <v>152</v>
      </c>
      <c r="E43" s="6" t="s">
        <v>155</v>
      </c>
      <c r="F43" s="6"/>
    </row>
    <row r="45" customFormat="false" ht="15" hidden="false" customHeight="true" outlineLevel="0" collapsed="false">
      <c r="A45" s="19" t="s">
        <v>68</v>
      </c>
      <c r="B45" s="19"/>
      <c r="C45" s="19"/>
      <c r="D45" s="19"/>
      <c r="E45" s="19"/>
      <c r="F45" s="19"/>
    </row>
    <row r="46" customFormat="false" ht="27.75" hidden="false" customHeight="true" outlineLevel="0" collapsed="false">
      <c r="A46" s="20" t="s">
        <v>156</v>
      </c>
      <c r="B46" s="20"/>
      <c r="C46" s="20"/>
      <c r="D46" s="20"/>
      <c r="E46" s="20"/>
      <c r="F46" s="20"/>
    </row>
    <row r="47" customFormat="false" ht="27.75" hidden="false" customHeight="true" outlineLevel="0" collapsed="false">
      <c r="A47" s="20" t="s">
        <v>157</v>
      </c>
      <c r="B47" s="20"/>
      <c r="C47" s="20"/>
      <c r="D47" s="20"/>
      <c r="E47" s="20"/>
      <c r="F47" s="20"/>
    </row>
    <row r="48" customFormat="false" ht="27.75" hidden="false" customHeight="true" outlineLevel="0" collapsed="false">
      <c r="A48" s="20" t="s">
        <v>158</v>
      </c>
      <c r="B48" s="20"/>
      <c r="C48" s="20"/>
      <c r="D48" s="20"/>
      <c r="E48" s="20"/>
      <c r="F48" s="20"/>
    </row>
    <row r="49" customFormat="false" ht="27.75" hidden="false" customHeight="true" outlineLevel="0" collapsed="false">
      <c r="A49" s="20" t="s">
        <v>159</v>
      </c>
      <c r="B49" s="20"/>
      <c r="C49" s="20"/>
      <c r="D49" s="20"/>
      <c r="E49" s="20"/>
      <c r="F49" s="20"/>
    </row>
    <row r="50" customFormat="false" ht="27.75" hidden="false" customHeight="true" outlineLevel="0" collapsed="false">
      <c r="A50" s="20" t="s">
        <v>160</v>
      </c>
      <c r="B50" s="20"/>
      <c r="C50" s="20"/>
      <c r="D50" s="20"/>
      <c r="E50" s="20"/>
      <c r="F50" s="20"/>
    </row>
    <row r="51" customFormat="false" ht="27.75" hidden="false" customHeight="true" outlineLevel="0" collapsed="false">
      <c r="A51" s="20" t="s">
        <v>161</v>
      </c>
      <c r="B51" s="20"/>
      <c r="C51" s="20"/>
      <c r="D51" s="20"/>
      <c r="E51" s="20"/>
      <c r="F51" s="20"/>
    </row>
  </sheetData>
  <mergeCells count="16">
    <mergeCell ref="A4:F4"/>
    <mergeCell ref="A24:F24"/>
    <mergeCell ref="D36:F36"/>
    <mergeCell ref="A38:F38"/>
    <mergeCell ref="E39:F39"/>
    <mergeCell ref="E40:F40"/>
    <mergeCell ref="E41:F41"/>
    <mergeCell ref="E42:F42"/>
    <mergeCell ref="E43:F43"/>
    <mergeCell ref="A45:F45"/>
    <mergeCell ref="A46:F46"/>
    <mergeCell ref="A47:F47"/>
    <mergeCell ref="A48:F48"/>
    <mergeCell ref="A49:F49"/>
    <mergeCell ref="A50:F50"/>
    <mergeCell ref="A51:F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2026-08-04T04:51:39Z</dcterms:created>
  <dc:creator>openpyxl</dc:creator>
  <dc:description/>
  <dc:language>en-US</dc:language>
  <cp:lastModifiedBy/>
  <dcterms:modified xsi:type="dcterms:W3CDTF">2026-08-04T04:51:39Z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